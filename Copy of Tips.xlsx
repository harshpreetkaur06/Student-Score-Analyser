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lassification" sheetId="1" r:id="rId4"/>
    <sheet state="visible" name="tips" sheetId="2" r:id="rId5"/>
    <sheet state="visible" name="smoker" sheetId="3" r:id="rId6"/>
    <sheet state="visible" name="time" sheetId="4" r:id="rId7"/>
    <sheet state="visible" name="day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<sst xmlns="http://schemas.openxmlformats.org/spreadsheetml/2006/main" count="1022" uniqueCount="38">
  <si>
    <t>COLUMS</t>
  </si>
  <si>
    <t>DATA TYPE</t>
  </si>
  <si>
    <t>TOTAL BILL</t>
  </si>
  <si>
    <t>ratio</t>
  </si>
  <si>
    <t>TIPS</t>
  </si>
  <si>
    <t>SEX</t>
  </si>
  <si>
    <t>nominal</t>
  </si>
  <si>
    <t>SMOKER</t>
  </si>
  <si>
    <t>DAY</t>
  </si>
  <si>
    <t>ordinal/nominal</t>
  </si>
  <si>
    <t>TIME</t>
  </si>
  <si>
    <t>SIZE</t>
  </si>
  <si>
    <t>ratio/count</t>
  </si>
  <si>
    <t>total_bill</t>
  </si>
  <si>
    <t>tip</t>
  </si>
  <si>
    <t>tip_percentage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</si>
  <si>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</si>
  <si>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</si>
  <si>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</si>
  <si>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</si>
  <si>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</si>
  <si>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</si>
  <si>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</si>
  <si>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</si>
  <si>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</si>
  <si>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</si>
  <si>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</si>
  <si>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</si>
  <si>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</si>
  <si>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</si>
  <si>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</si>
  <si>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MEAN</t>
  </si>
  <si>
    <t>MODE</t>
  </si>
  <si>
    <t>MEDIAN</t>
  </si>
  <si>
    <t>SD</t>
  </si>
  <si>
    <t>VARIANCE</t>
  </si>
  <si>
    <t>AVERAGE of tip_percentage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</si>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</sst>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smoker!$A$2:$A$3</c:f>
            </c:strRef>
          </c:cat>
          <c:val>
            <c:numRef>
              <c:f>smoker!$B$2:$B$3</c:f>
              <c:numCache/>
            </c:numRef>
          </c:val>
        </c:ser>
        <c:axId val="1709728328"/>
        <c:axId val="555065451"/>
      </c:barChart>
      <c:catAx>
        <c:axId val="17097283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smoker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065451"/>
      </c:catAx>
      <c:valAx>
        <c:axId val="5550654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tips in percentage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7283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time!$A$2:$A$3</c:f>
            </c:strRef>
          </c:cat>
          <c:val>
            <c:numRef>
              <c:f>time!$B$2:$B$3</c:f>
              <c:numCache/>
            </c:numRef>
          </c:val>
        </c:ser>
        <c:axId val="503502244"/>
        <c:axId val="2077920026"/>
      </c:barChart>
      <c:catAx>
        <c:axId val="5035022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920026"/>
      </c:catAx>
      <c:valAx>
        <c:axId val="2077920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tips in percentage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5022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day!$A$2:$A$5</c:f>
            </c:strRef>
          </c:cat>
          <c:val>
            <c:numRef>
              <c:f>day!$B$2:$B$5</c:f>
              <c:numCache/>
            </c:numRef>
          </c:val>
        </c:ser>
        <c:axId val="1575767185"/>
        <c:axId val="241868984"/>
      </c:barChart>
      <c:catAx>
        <c:axId val="15757671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868984"/>
      </c:catAx>
      <c:valAx>
        <c:axId val="2418689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tips in percentage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7671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250</xdr:row>
      <xdr:rowOff>180975</xdr:rowOff>
    </xdr:from>
    <xdr:ext cx="5715000" cy="3533775"/>
    <xdr:pic>
      <xdr:nvPicPr>
        <xdr:cNvPr id="1462926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3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3</xdr:row>
      <xdr:rowOff>209550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895350</xdr:colOff>
      <xdr:row>5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45" sheet="tips"/>
  </cacheSource>
  <cacheFields>
    <cacheField name="total_bill" numFmtId="0">
      <sharedItems containsSemiMixedTypes="0" containsString="0" containsNumber="1">
        <n v="16.99"/>
        <n v="10.34"/>
        <n v="21.01"/>
        <n v="23.68"/>
        <n v="24.59"/>
        <n v="25.29"/>
        <n v="8.77"/>
        <n v="26.88"/>
        <n v="15.04"/>
        <n v="14.78"/>
        <n v="10.27"/>
        <n v="35.26"/>
        <n v="15.42"/>
        <n v="18.43"/>
        <n v="14.83"/>
        <n v="21.58"/>
        <n v="10.33"/>
        <n v="16.29"/>
        <n v="16.97"/>
        <n v="20.65"/>
        <n v="17.92"/>
        <n v="20.29"/>
        <n v="15.77"/>
        <n v="39.42"/>
        <n v="19.82"/>
        <n v="17.81"/>
        <n v="13.37"/>
        <n v="12.69"/>
        <n v="21.7"/>
        <n v="19.65"/>
        <n v="9.55"/>
        <n v="18.35"/>
        <n v="15.06"/>
        <n v="20.69"/>
        <n v="17.78"/>
        <n v="24.06"/>
        <n v="16.31"/>
        <n v="16.93"/>
        <n v="18.69"/>
        <n v="31.27"/>
        <n v="16.04"/>
        <n v="17.46"/>
        <n v="13.94"/>
        <n v="9.68"/>
        <n v="30.4"/>
        <n v="18.29"/>
        <n v="22.23"/>
        <n v="32.4"/>
        <n v="28.55"/>
        <n v="18.04"/>
        <n v="12.54"/>
        <n v="10.29"/>
        <n v="34.81"/>
        <n v="9.94"/>
        <n v="25.56"/>
        <n v="19.49"/>
        <n v="38.01"/>
        <n v="26.41"/>
        <n v="11.24"/>
        <n v="48.27"/>
        <n v="13.81"/>
        <n v="11.02"/>
        <n v="17.59"/>
        <n v="20.08"/>
        <n v="16.45"/>
        <n v="3.07"/>
        <n v="20.23"/>
        <n v="15.01"/>
        <n v="12.02"/>
        <n v="17.07"/>
        <n v="26.86"/>
        <n v="25.28"/>
        <n v="14.73"/>
        <n v="10.51"/>
        <n v="27.2"/>
        <n v="22.76"/>
        <n v="17.29"/>
        <n v="19.44"/>
        <n v="16.66"/>
        <n v="10.07"/>
        <n v="32.68"/>
        <n v="15.98"/>
        <n v="34.83"/>
        <n v="13.03"/>
        <n v="18.28"/>
        <n v="24.71"/>
        <n v="21.16"/>
        <n v="28.97"/>
        <n v="22.49"/>
        <n v="5.75"/>
        <n v="16.32"/>
        <n v="22.75"/>
        <n v="40.17"/>
        <n v="27.28"/>
        <n v="12.03"/>
        <n v="12.46"/>
        <n v="11.35"/>
        <n v="15.38"/>
        <n v="44.3"/>
        <n v="22.42"/>
        <n v="20.92"/>
        <n v="15.36"/>
        <n v="20.49"/>
        <n v="25.21"/>
        <n v="18.24"/>
        <n v="14.31"/>
        <n v="14.0"/>
        <n v="7.25"/>
        <n v="38.07"/>
        <n v="23.95"/>
        <n v="25.71"/>
        <n v="17.31"/>
        <n v="29.93"/>
        <n v="10.65"/>
        <n v="12.43"/>
        <n v="24.08"/>
        <n v="11.69"/>
        <n v="13.42"/>
        <n v="14.26"/>
        <n v="15.95"/>
        <n v="12.48"/>
        <n v="29.8"/>
        <n v="8.52"/>
        <n v="14.52"/>
        <n v="11.38"/>
        <n v="22.82"/>
        <n v="19.08"/>
        <n v="20.27"/>
        <n v="11.17"/>
        <n v="12.26"/>
        <n v="18.26"/>
        <n v="8.51"/>
        <n v="14.15"/>
        <n v="16.0"/>
        <n v="13.16"/>
        <n v="17.47"/>
        <n v="34.3"/>
        <n v="41.19"/>
        <n v="27.05"/>
        <n v="16.43"/>
        <n v="8.35"/>
        <n v="18.64"/>
        <n v="11.87"/>
        <n v="9.78"/>
        <n v="7.51"/>
        <n v="14.07"/>
        <n v="13.13"/>
        <n v="17.26"/>
        <n v="24.55"/>
        <n v="19.77"/>
        <n v="29.85"/>
        <n v="48.17"/>
        <n v="25.0"/>
        <n v="13.39"/>
        <n v="16.49"/>
        <n v="21.5"/>
        <n v="12.66"/>
        <n v="16.21"/>
        <n v="17.51"/>
        <n v="24.52"/>
        <n v="20.76"/>
        <n v="31.71"/>
        <n v="10.59"/>
        <n v="10.63"/>
        <n v="50.81"/>
        <n v="15.81"/>
        <n v="31.85"/>
        <n v="16.82"/>
        <n v="32.9"/>
        <n v="17.89"/>
        <n v="14.48"/>
        <n v="9.6"/>
        <n v="34.63"/>
        <n v="34.65"/>
        <n v="23.33"/>
        <n v="45.35"/>
        <n v="23.17"/>
        <n v="40.55"/>
        <n v="20.9"/>
        <n v="30.46"/>
        <n v="18.15"/>
        <n v="23.1"/>
        <n v="15.69"/>
        <n v="19.81"/>
        <n v="28.44"/>
        <n v="15.48"/>
        <n v="16.58"/>
        <n v="7.56"/>
        <n v="43.11"/>
        <n v="13.0"/>
        <n v="13.51"/>
        <n v="18.71"/>
        <n v="12.74"/>
        <n v="16.4"/>
        <n v="20.53"/>
        <n v="16.47"/>
        <n v="26.59"/>
        <n v="38.73"/>
        <n v="24.27"/>
        <n v="12.76"/>
        <n v="30.06"/>
        <n v="25.89"/>
        <n v="48.33"/>
        <n v="13.27"/>
        <n v="28.17"/>
        <n v="12.9"/>
        <n v="28.15"/>
        <n v="11.59"/>
        <n v="7.74"/>
        <n v="30.14"/>
        <n v="12.16"/>
        <n v="8.58"/>
        <n v="16.27"/>
        <n v="10.09"/>
        <n v="20.45"/>
        <n v="13.28"/>
        <n v="22.12"/>
        <n v="24.01"/>
        <n v="11.61"/>
        <n v="10.77"/>
        <n v="15.53"/>
        <n v="12.6"/>
        <n v="32.83"/>
        <n v="35.83"/>
        <n v="29.03"/>
        <n v="27.18"/>
        <n v="22.67"/>
        <n v="17.82"/>
        <n v="18.78"/>
      </sharedItems>
    </cacheField>
    <cacheField name="tip" numFmtId="0">
      <sharedItems containsSemiMixedTypes="0" containsString="0" containsNumber="1">
        <n v="1.01"/>
        <n v="1.66"/>
        <n v="3.5"/>
        <n v="3.31"/>
        <n v="3.61"/>
        <n v="4.71"/>
        <n v="2.0"/>
        <n v="3.12"/>
        <n v="1.96"/>
        <n v="3.23"/>
        <n v="1.71"/>
        <n v="5.0"/>
        <n v="1.57"/>
        <n v="3.0"/>
        <n v="3.02"/>
        <n v="3.92"/>
        <n v="1.67"/>
        <n v="3.71"/>
        <n v="3.35"/>
        <n v="4.08"/>
        <n v="2.75"/>
        <n v="2.23"/>
        <n v="7.58"/>
        <n v="3.18"/>
        <n v="2.34"/>
        <n v="4.3"/>
        <n v="1.45"/>
        <n v="2.5"/>
        <n v="2.45"/>
        <n v="3.27"/>
        <n v="3.6"/>
        <n v="3.07"/>
        <n v="2.31"/>
        <n v="2.24"/>
        <n v="2.54"/>
        <n v="3.06"/>
        <n v="1.32"/>
        <n v="5.6"/>
        <n v="6.0"/>
        <n v="2.05"/>
        <n v="2.6"/>
        <n v="5.2"/>
        <n v="1.56"/>
        <n v="4.34"/>
        <n v="3.51"/>
        <n v="1.5"/>
        <n v="1.76"/>
        <n v="6.73"/>
        <n v="3.21"/>
        <n v="1.98"/>
        <n v="3.76"/>
        <n v="2.64"/>
        <n v="3.15"/>
        <n v="2.47"/>
        <n v="1.0"/>
        <n v="2.01"/>
        <n v="2.09"/>
        <n v="1.97"/>
        <n v="3.14"/>
        <n v="2.2"/>
        <n v="1.25"/>
        <n v="3.08"/>
        <n v="4.0"/>
        <n v="2.71"/>
        <n v="3.4"/>
        <n v="1.83"/>
        <n v="2.03"/>
        <n v="5.17"/>
        <n v="5.85"/>
        <n v="3.25"/>
        <n v="4.73"/>
        <n v="3.48"/>
        <n v="1.64"/>
        <n v="4.06"/>
        <n v="4.29"/>
        <n v="2.55"/>
        <n v="5.07"/>
        <n v="1.8"/>
        <n v="2.92"/>
        <n v="1.68"/>
        <n v="2.52"/>
        <n v="4.2"/>
        <n v="1.48"/>
        <n v="2.18"/>
        <n v="2.83"/>
        <n v="6.7"/>
        <n v="2.3"/>
        <n v="1.36"/>
        <n v="1.63"/>
        <n v="1.73"/>
        <n v="2.74"/>
        <n v="5.14"/>
        <n v="3.75"/>
        <n v="2.61"/>
        <n v="4.5"/>
        <n v="1.61"/>
        <n v="10.0"/>
        <n v="3.16"/>
        <n v="5.15"/>
        <n v="3.11"/>
        <n v="3.55"/>
        <n v="3.68"/>
        <n v="5.65"/>
        <n v="6.5"/>
        <n v="4.19"/>
        <n v="2.56"/>
        <n v="2.02"/>
        <n v="1.44"/>
        <n v="3.41"/>
        <n v="5.16"/>
        <n v="9.0"/>
        <n v="1.1"/>
        <n v="3.09"/>
        <n v="1.92"/>
        <n v="1.58"/>
        <n v="2.72"/>
        <n v="2.88"/>
        <n v="3.39"/>
        <n v="1.47"/>
        <n v="1.17"/>
        <n v="4.67"/>
        <n v="5.92"/>
        <n v="1.75"/>
      </sharedItems>
    </cacheField>
    <cacheField name="tip_percentage" numFmtId="0">
      <sharedItems containsSemiMixedTypes="0" containsString="0" containsNumber="1">
        <n v="0.05944673337257211"/>
        <n v="0.16054158607350097"/>
        <n v="0.16658733936220846"/>
        <n v="0.1397804054054054"/>
        <n v="0.14680764538430255"/>
        <n v="0.18623962040332148"/>
        <n v="0.22805017103762829"/>
        <n v="0.11607142857142858"/>
        <n v="0.13031914893617022"/>
        <n v="0.2185385656292287"/>
        <n v="0.1665043816942551"/>
        <n v="0.14180374361883155"/>
        <n v="0.10181582360570687"/>
        <n v="0.16277807921866522"/>
        <n v="0.20364126770060686"/>
        <n v="0.18164967562557924"/>
        <n v="0.1616650532429816"/>
        <n v="0.22774708410067526"/>
        <n v="0.20624631703005306"/>
        <n v="0.16222760290556903"/>
        <n v="0.22767857142857142"/>
        <n v="0.13553474618038444"/>
        <n v="0.14140773620798985"/>
        <n v="0.19228817858954844"/>
        <n v="0.16044399596367306"/>
        <n v="0.13138686131386862"/>
        <n v="0.14958863126402394"/>
        <n v="0.15760441292356187"/>
        <n v="0.19815668202764977"/>
        <n v="0.15267175572519084"/>
        <n v="0.1518324607329843"/>
        <n v="0.13623978201634876"/>
        <n v="0.199203187250996"/>
        <n v="0.11841469308844853"/>
        <n v="0.1839145106861642"/>
        <n v="0.14962593516209477"/>
        <n v="0.12262415695892091"/>
        <n v="0.1813349084465446"/>
        <n v="0.12359550561797752"/>
        <n v="0.1598976654940838"/>
        <n v="0.13965087281795513"/>
        <n v="0.14547537227949597"/>
        <n v="0.21951219512195122"/>
        <n v="0.13636363636363638"/>
        <n v="0.18421052631578946"/>
        <n v="0.16402405686167304"/>
        <n v="0.22492127755285649"/>
        <n v="0.1851851851851852"/>
        <n v="0.07180385288966724"/>
        <n v="0.16629711751662973"/>
        <n v="0.19936204146730463"/>
        <n v="0.2526724975704568"/>
        <n v="0.14938236139040506"/>
        <n v="0.15694164989939638"/>
        <n v="0.1697965571205008"/>
        <n v="0.18009235505387378"/>
        <n v="0.07892659826361484"/>
        <n v="0.05679666792881484"/>
        <n v="0.15658362989323843"/>
        <n v="0.13942407292314066"/>
        <n v="0.1582060128141942"/>
        <n v="0.1448225923244026"/>
        <n v="0.17967332123411978"/>
        <n v="0.20557681793329688"/>
        <n v="0.15008527572484368"/>
        <n v="0.15687250996015936"/>
        <n v="0.1501519756838906"/>
        <n v="0.32573289902280134"/>
        <n v="0.09935739001482945"/>
        <n v="0.13924050632911392"/>
        <n v="0.1638935108153078"/>
        <n v="0.1757469244288225"/>
        <n v="0.11690245718540582"/>
        <n v="0.19778481012658228"/>
        <n v="0.14935505770536323"/>
        <n v="0.11893434823977164"/>
        <n v="0.171875"/>
        <n v="0.14705882352941177"/>
        <n v="0.13181019332161686"/>
        <n v="0.156737998843262"/>
        <n v="0.15432098765432098"/>
        <n v="0.20408163265306123"/>
        <n v="0.1817279046673287"/>
        <n v="0.15299877600979192"/>
        <n v="0.12703379224030037"/>
        <n v="0.14843525696238874"/>
        <n v="0.15349194167306218"/>
        <n v="0.2188183807439825"/>
        <n v="0.23674625657628487"/>
        <n v="0.14177693761814744"/>
        <n v="0.10355540214014498"/>
        <n v="0.15562472209871056"/>
        <n v="0.17391304347826086"/>
        <n v="0.26348039215686275"/>
        <n v="0.14285714285714285"/>
        <n v="0.1177495643515061"/>
        <n v="0.14662756598240467"/>
        <n v="0.12468827930174564"/>
        <n v="0.1427891480247501"/>
        <n v="0.1203852327447833"/>
        <n v="0.22026431718061676"/>
        <n v="0.19505851755526657"/>
        <n v="0.05643340857787811"/>
        <n v="0.15521855486173058"/>
        <n v="0.1950286806883365"/>
        <n v="0.10677083333333333"/>
        <n v="0.19814543679843827"/>
        <n v="0.1701705672352241"/>
        <n v="0.20614035087719298"/>
        <n v="0.2795248078266946"/>
        <n v="0.21428571428571427"/>
        <n v="0.13793103448275862"/>
        <n v="0.10506960861570791"/>
        <n v="0.10647181628392484"/>
        <n v="0.15558148580318942"/>
        <n v="0.20219526285384173"/>
        <n v="0.1693952555963916"/>
        <n v="0.14084507042253522"/>
        <n v="0.14481094127111827"/>
        <n v="0.1212624584717608"/>
        <n v="0.19760479041916168"/>
        <n v="0.12518628912071533"/>
        <n v="0.1753155680224404"/>
        <n v="0.12539184952978058"/>
        <n v="0.20192307692307693"/>
        <n v="0.14093959731543623"/>
        <n v="0.17370892018779344"/>
        <n v="0.13774104683195593"/>
        <n v="0.17574692442882248"/>
        <n v="0.09553023663453111"/>
        <n v="0.07861635220125787"/>
        <n v="0.13961519486926494"/>
        <n v="0.13428827215756492"/>
        <n v="0.1631321370309951"/>
        <n v="0.17798466593647316"/>
        <n v="0.14688601645123384"/>
        <n v="0.1936108422071636"/>
        <n v="0.1413427561837456"/>
        <n v="0.125"/>
        <n v="0.20896656534954408"/>
        <n v="0.20034344590726963"/>
        <n v="0.19533527696793004"/>
        <n v="0.12138868657441128"/>
        <n v="0.18484288354898337"/>
        <n v="0.1399878271454656"/>
        <n v="0.17964071856287425"/>
        <n v="0.07296137339055794"/>
        <n v="0.13732097725358045"/>
        <n v="0.1768916155419223"/>
        <n v="0.2663115845539281"/>
        <n v="0.17768301350390903"/>
        <n v="0.15232292460015232"/>
        <n v="0.15874855156431053"/>
        <n v="0.0814663951120163"/>
        <n v="0.10116337885685382"/>
        <n v="0.1721943048576214"/>
        <n v="0.10379904504878555"/>
        <n v="0.15"/>
        <n v="0.19492158327109782"/>
        <n v="0.12128562765312312"/>
        <n v="0.16279069767441862"/>
        <n v="0.19747235387045814"/>
        <n v="0.12338062924120913"/>
        <n v="0.17133066818960593"/>
        <n v="0.14192495921696574"/>
        <n v="0.10789980732177264"/>
        <n v="0.14191106906338694"/>
        <n v="0.15203021718602455"/>
        <n v="0.18814675446848542"/>
        <n v="0.19681165124975397"/>
        <n v="0.19987349778621127"/>
        <n v="0.710344827586207"/>
        <n v="0.09984301412872841"/>
        <n v="0.23781212841854935"/>
        <n v="0.0945288753799392"/>
        <n v="0.11179429849077696"/>
        <n v="0.13812154696132597"/>
        <n v="0.4166666666666667"/>
        <n v="0.102512272596015"/>
        <n v="0.10620490620490622"/>
        <n v="0.2421774539219889"/>
        <n v="0.07717750826901874"/>
        <n v="0.2805351747949935"/>
        <n v="0.07398273736128237"/>
        <n v="0.2416626389560174"/>
        <n v="0.1674641148325359"/>
        <n v="0.06565988181221273"/>
        <n v="0.1928374655647383"/>
        <n v="0.17316017316017315"/>
        <n v="0.09560229445506692"/>
        <n v="0.21150933871781932"/>
        <n v="0.090014064697609"/>
        <n v="0.13049095607235142"/>
        <n v="0.24125452352231608"/>
        <n v="0.19047619047619047"/>
        <n v="0.19342359767891684"/>
        <n v="0.1159823706796567"/>
        <n v="0.15384615384615385"/>
        <n v="0.14803849000740193"/>
        <n v="0.2137894174238375"/>
        <n v="0.15777080062794346"/>
        <n v="0.15243902439024393"/>
        <n v="0.1948368241597662"/>
        <n v="0.19611414693381907"/>
        <n v="0.1282437006393381"/>
        <n v="0.0774593338497289"/>
        <n v="0.08364235681911825"/>
        <n v="0.17476489028213166"/>
        <n v="0.06653359946773121"/>
        <n v="0.1993047508690614"/>
        <n v="0.186219739292365"/>
        <n v="0.18839487565938207"/>
        <n v="0.23074192403265883"/>
        <n v="0.08527131782945736"/>
        <n v="0.10657193605683837"/>
        <n v="0.12942191544434858"/>
        <n v="0.18604651162790697"/>
        <n v="0.10252156602521566"/>
        <n v="0.18092105263157895"/>
        <n v="0.2593144560357675"/>
        <n v="0.22377622377622378"/>
        <n v="0.18773466833541927"/>
        <n v="0.11773472429210134"/>
        <n v="0.15365703749231716"/>
        <n v="0.19821605550049554"/>
        <n v="0.1466992665036675"/>
        <n v="0.20481927710843376"/>
        <n v="0.13019891500904157"/>
        <n v="0.08329862557267805"/>
        <n v="0.19120458891013384"/>
        <n v="0.29198966408268734"/>
        <n v="0.13649025069637882"/>
        <n v="0.19317450096587252"/>
        <n v="0.12413108242303872"/>
        <n v="0.07936507936507936"/>
        <n v="0.03563813585135547"/>
        <n v="0.13033770583310075"/>
        <n v="0.2039269720978298"/>
        <n v="0.07358351729212656"/>
        <n v="0.08822232024702249"/>
        <n v="0.09820426487093153"/>
        <n v="0.1597444089456869"/>
      </sharedItems>
    </cacheField>
    <cacheField name="sex" numFmtId="0">
      <sharedItems>
        <s v="Female"/>
        <s v="Male"/>
      </sharedItems>
    </cacheField>
    <cacheField name="smoker" numFmtId="0">
      <sharedItems>
        <s v="No"/>
        <s v="Yes"/>
      </sharedItems>
    </cacheField>
    <cacheField name="day" numFmtId="0">
      <sharedItems>
        <s v="Sun"/>
        <s v="Sat"/>
        <s v="Thur"/>
        <s v="Fri"/>
      </sharedItems>
    </cacheField>
    <cacheField name="time" numFmtId="0">
      <sharedItems>
        <s v="Dinner"/>
        <s v="Lunch"/>
      </sharedItems>
    </cacheField>
    <cacheField name="size" numFmtId="0">
      <sharedItems containsSemiMixedTypes="0" containsString="0" containsNumber="1" containsInteger="1">
        <n v="2.0"/>
        <n v="3.0"/>
        <n v="4.0"/>
        <n v="1.0"/>
        <n v="6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moker" cacheId="0" dataCaption="" compact="0" compactData="0">
  <location ref="A1:B4" firstHeaderRow="0" firstDataRow="1" firstDataCol="0"/>
  <pivotFields>
    <pivotField name="total_bi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t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tip_percent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smoker" axis="axisRow" compact="0" outline="0" multipleItemSelectionAllowed="1" showAll="0" sortType="ascending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t="default"/>
      </items>
    </pivotField>
    <pivotField name="time" compact="0" outline="0" multipleItemSelectionAllowed="1" showAll="0">
      <items>
        <item x="0"/>
        <item x="1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4"/>
  </rowFields>
  <dataFields>
    <dataField name="AVERAGE of tip_percentage" fld="2" subtotal="average" baseField="0"/>
  </dataFields>
</pivotTableDefinition>
</file>

<file path=xl/pivotTables/pivotTable2.xml><?xml version="1.0" encoding="utf-8"?>
<pivotTableDefinition xmlns="http://schemas.openxmlformats.org/spreadsheetml/2006/main" name="time" cacheId="0" dataCaption="" compact="0" compactData="0">
  <location ref="A1:B4" firstHeaderRow="0" firstDataRow="1" firstDataCol="0"/>
  <pivotFields>
    <pivotField name="total_bi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t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tip_percent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t="default"/>
      </items>
    </pivotField>
    <pivotField name="time" axis="axisRow" compact="0" outline="0" multipleItemSelectionAllowed="1" showAll="0" sortType="ascending">
      <items>
        <item x="0"/>
        <item x="1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dataFields>
    <dataField name="AVERAGE of tip_percentage" fld="2" subtotal="average" baseField="0"/>
  </dataFields>
</pivotTableDefinition>
</file>

<file path=xl/pivotTables/pivotTable3.xml><?xml version="1.0" encoding="utf-8"?>
<pivotTableDefinition xmlns="http://schemas.openxmlformats.org/spreadsheetml/2006/main" name="day" cacheId="0" dataCaption="" compact="0" compactData="0">
  <location ref="A1:B6" firstHeaderRow="0" firstDataRow="1" firstDataCol="0"/>
  <pivotFields>
    <pivotField name="total_bi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t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tip_percent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y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time" compact="0" outline="0" multipleItemSelectionAllowed="1" showAll="0">
      <items>
        <item x="0"/>
        <item x="1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dataFields>
    <dataField name="AVERAGE of tip_percentage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6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6</v>
      </c>
    </row>
    <row r="8">
      <c r="A8" s="1" t="s">
        <v>11</v>
      </c>
      <c r="B8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>
      <c r="A2" s="1">
        <v>16.99</v>
      </c>
      <c r="B2" s="1">
        <v>1.01</v>
      </c>
      <c r="C2" s="1">
        <f t="shared" ref="C2:C245" si="1">B2/A2</f>
        <v>0.05944673337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2.0</v>
      </c>
    </row>
    <row r="3">
      <c r="A3" s="1">
        <v>10.34</v>
      </c>
      <c r="B3" s="1">
        <v>1.66</v>
      </c>
      <c r="C3" s="1">
        <f t="shared" si="1"/>
        <v>0.1605415861</v>
      </c>
      <c r="D3" s="1" t="s">
        <v>25</v>
      </c>
      <c r="E3" s="1" t="s">
        <v>22</v>
      </c>
      <c r="F3" s="1" t="s">
        <v>23</v>
      </c>
      <c r="G3" s="1" t="s">
        <v>24</v>
      </c>
      <c r="H3" s="1">
        <v>3.0</v>
      </c>
    </row>
    <row r="4">
      <c r="A4" s="1">
        <v>21.01</v>
      </c>
      <c r="B4" s="1">
        <v>3.5</v>
      </c>
      <c r="C4" s="1">
        <f t="shared" si="1"/>
        <v>0.1665873394</v>
      </c>
      <c r="D4" s="1" t="s">
        <v>25</v>
      </c>
      <c r="E4" s="1" t="s">
        <v>22</v>
      </c>
      <c r="F4" s="1" t="s">
        <v>23</v>
      </c>
      <c r="G4" s="1" t="s">
        <v>24</v>
      </c>
      <c r="H4" s="1">
        <v>3.0</v>
      </c>
    </row>
    <row r="5">
      <c r="A5" s="1">
        <v>23.68</v>
      </c>
      <c r="B5" s="1">
        <v>3.31</v>
      </c>
      <c r="C5" s="1">
        <f t="shared" si="1"/>
        <v>0.1397804054</v>
      </c>
      <c r="D5" s="1" t="s">
        <v>25</v>
      </c>
      <c r="E5" s="1" t="s">
        <v>22</v>
      </c>
      <c r="F5" s="1" t="s">
        <v>23</v>
      </c>
      <c r="G5" s="1" t="s">
        <v>24</v>
      </c>
      <c r="H5" s="1">
        <v>2.0</v>
      </c>
    </row>
    <row r="6">
      <c r="A6" s="1">
        <v>24.59</v>
      </c>
      <c r="B6" s="1">
        <v>3.61</v>
      </c>
      <c r="C6" s="1">
        <f t="shared" si="1"/>
        <v>0.1468076454</v>
      </c>
      <c r="D6" s="1" t="s">
        <v>21</v>
      </c>
      <c r="E6" s="1" t="s">
        <v>22</v>
      </c>
      <c r="F6" s="1" t="s">
        <v>23</v>
      </c>
      <c r="G6" s="1" t="s">
        <v>24</v>
      </c>
      <c r="H6" s="1">
        <v>4.0</v>
      </c>
    </row>
    <row r="7">
      <c r="A7" s="1">
        <v>25.29</v>
      </c>
      <c r="B7" s="1">
        <v>4.71</v>
      </c>
      <c r="C7" s="1">
        <f t="shared" si="1"/>
        <v>0.1862396204</v>
      </c>
      <c r="D7" s="1" t="s">
        <v>25</v>
      </c>
      <c r="E7" s="1" t="s">
        <v>22</v>
      </c>
      <c r="F7" s="1" t="s">
        <v>23</v>
      </c>
      <c r="G7" s="1" t="s">
        <v>24</v>
      </c>
      <c r="H7" s="1">
        <v>4.0</v>
      </c>
    </row>
    <row r="8">
      <c r="A8" s="1">
        <v>8.77</v>
      </c>
      <c r="B8" s="1">
        <v>2.0</v>
      </c>
      <c r="C8" s="1">
        <f t="shared" si="1"/>
        <v>0.228050171</v>
      </c>
      <c r="D8" s="1" t="s">
        <v>25</v>
      </c>
      <c r="E8" s="1" t="s">
        <v>22</v>
      </c>
      <c r="F8" s="1" t="s">
        <v>23</v>
      </c>
      <c r="G8" s="1" t="s">
        <v>24</v>
      </c>
      <c r="H8" s="1">
        <v>2.0</v>
      </c>
    </row>
    <row r="9">
      <c r="A9" s="1">
        <v>26.88</v>
      </c>
      <c r="B9" s="1">
        <v>3.12</v>
      </c>
      <c r="C9" s="1">
        <f t="shared" si="1"/>
        <v>0.1160714286</v>
      </c>
      <c r="D9" s="1" t="s">
        <v>25</v>
      </c>
      <c r="E9" s="1" t="s">
        <v>22</v>
      </c>
      <c r="F9" s="1" t="s">
        <v>23</v>
      </c>
      <c r="G9" s="1" t="s">
        <v>24</v>
      </c>
      <c r="H9" s="1">
        <v>4.0</v>
      </c>
    </row>
    <row r="10">
      <c r="A10" s="1">
        <v>15.04</v>
      </c>
      <c r="B10" s="1">
        <v>1.96</v>
      </c>
      <c r="C10" s="1">
        <f t="shared" si="1"/>
        <v>0.1303191489</v>
      </c>
      <c r="D10" s="1" t="s">
        <v>25</v>
      </c>
      <c r="E10" s="1" t="s">
        <v>22</v>
      </c>
      <c r="F10" s="1" t="s">
        <v>23</v>
      </c>
      <c r="G10" s="1" t="s">
        <v>24</v>
      </c>
      <c r="H10" s="1">
        <v>2.0</v>
      </c>
    </row>
    <row r="11">
      <c r="A11" s="1">
        <v>14.78</v>
      </c>
      <c r="B11" s="1">
        <v>3.23</v>
      </c>
      <c r="C11" s="1">
        <f t="shared" si="1"/>
        <v>0.2185385656</v>
      </c>
      <c r="D11" s="1" t="s">
        <v>25</v>
      </c>
      <c r="E11" s="1" t="s">
        <v>22</v>
      </c>
      <c r="F11" s="1" t="s">
        <v>23</v>
      </c>
      <c r="G11" s="1" t="s">
        <v>24</v>
      </c>
      <c r="H11" s="1">
        <v>2.0</v>
      </c>
    </row>
    <row r="12">
      <c r="A12" s="1">
        <v>10.27</v>
      </c>
      <c r="B12" s="1">
        <v>1.71</v>
      </c>
      <c r="C12" s="1">
        <f t="shared" si="1"/>
        <v>0.1665043817</v>
      </c>
      <c r="D12" s="1" t="s">
        <v>25</v>
      </c>
      <c r="E12" s="1" t="s">
        <v>22</v>
      </c>
      <c r="F12" s="1" t="s">
        <v>23</v>
      </c>
      <c r="G12" s="1" t="s">
        <v>24</v>
      </c>
      <c r="H12" s="1">
        <v>2.0</v>
      </c>
    </row>
    <row r="13">
      <c r="A13" s="1">
        <v>35.26</v>
      </c>
      <c r="B13" s="1">
        <v>5.0</v>
      </c>
      <c r="C13" s="1">
        <f t="shared" si="1"/>
        <v>0.1418037436</v>
      </c>
      <c r="D13" s="1" t="s">
        <v>21</v>
      </c>
      <c r="E13" s="1" t="s">
        <v>22</v>
      </c>
      <c r="F13" s="1" t="s">
        <v>23</v>
      </c>
      <c r="G13" s="1" t="s">
        <v>24</v>
      </c>
      <c r="H13" s="1">
        <v>4.0</v>
      </c>
    </row>
    <row r="14">
      <c r="A14" s="1">
        <v>15.42</v>
      </c>
      <c r="B14" s="1">
        <v>1.57</v>
      </c>
      <c r="C14" s="1">
        <f t="shared" si="1"/>
        <v>0.1018158236</v>
      </c>
      <c r="D14" s="1" t="s">
        <v>25</v>
      </c>
      <c r="E14" s="1" t="s">
        <v>22</v>
      </c>
      <c r="F14" s="1" t="s">
        <v>23</v>
      </c>
      <c r="G14" s="1" t="s">
        <v>24</v>
      </c>
      <c r="H14" s="1">
        <v>2.0</v>
      </c>
    </row>
    <row r="15">
      <c r="A15" s="1">
        <v>18.43</v>
      </c>
      <c r="B15" s="1">
        <v>3.0</v>
      </c>
      <c r="C15" s="1">
        <f t="shared" si="1"/>
        <v>0.1627780792</v>
      </c>
      <c r="D15" s="1" t="s">
        <v>25</v>
      </c>
      <c r="E15" s="1" t="s">
        <v>22</v>
      </c>
      <c r="F15" s="1" t="s">
        <v>23</v>
      </c>
      <c r="G15" s="1" t="s">
        <v>24</v>
      </c>
      <c r="H15" s="1">
        <v>4.0</v>
      </c>
    </row>
    <row r="16">
      <c r="A16" s="1">
        <v>14.83</v>
      </c>
      <c r="B16" s="1">
        <v>3.02</v>
      </c>
      <c r="C16" s="1">
        <f t="shared" si="1"/>
        <v>0.2036412677</v>
      </c>
      <c r="D16" s="1" t="s">
        <v>21</v>
      </c>
      <c r="E16" s="1" t="s">
        <v>22</v>
      </c>
      <c r="F16" s="1" t="s">
        <v>23</v>
      </c>
      <c r="G16" s="1" t="s">
        <v>24</v>
      </c>
      <c r="H16" s="1">
        <v>2.0</v>
      </c>
    </row>
    <row r="17">
      <c r="A17" s="1">
        <v>21.58</v>
      </c>
      <c r="B17" s="1">
        <v>3.92</v>
      </c>
      <c r="C17" s="1">
        <f t="shared" si="1"/>
        <v>0.1816496756</v>
      </c>
      <c r="D17" s="1" t="s">
        <v>25</v>
      </c>
      <c r="E17" s="1" t="s">
        <v>22</v>
      </c>
      <c r="F17" s="1" t="s">
        <v>23</v>
      </c>
      <c r="G17" s="1" t="s">
        <v>24</v>
      </c>
      <c r="H17" s="1">
        <v>2.0</v>
      </c>
    </row>
    <row r="18">
      <c r="A18" s="1">
        <v>10.33</v>
      </c>
      <c r="B18" s="1">
        <v>1.67</v>
      </c>
      <c r="C18" s="1">
        <f t="shared" si="1"/>
        <v>0.1616650532</v>
      </c>
      <c r="D18" s="1" t="s">
        <v>21</v>
      </c>
      <c r="E18" s="1" t="s">
        <v>22</v>
      </c>
      <c r="F18" s="1" t="s">
        <v>23</v>
      </c>
      <c r="G18" s="1" t="s">
        <v>24</v>
      </c>
      <c r="H18" s="1">
        <v>3.0</v>
      </c>
    </row>
    <row r="19">
      <c r="A19" s="1">
        <v>16.29</v>
      </c>
      <c r="B19" s="1">
        <v>3.71</v>
      </c>
      <c r="C19" s="1">
        <f t="shared" si="1"/>
        <v>0.2277470841</v>
      </c>
      <c r="D19" s="1" t="s">
        <v>25</v>
      </c>
      <c r="E19" s="1" t="s">
        <v>22</v>
      </c>
      <c r="F19" s="1" t="s">
        <v>23</v>
      </c>
      <c r="G19" s="1" t="s">
        <v>24</v>
      </c>
      <c r="H19" s="1">
        <v>3.0</v>
      </c>
    </row>
    <row r="20">
      <c r="A20" s="1">
        <v>16.97</v>
      </c>
      <c r="B20" s="1">
        <v>3.5</v>
      </c>
      <c r="C20" s="1">
        <f t="shared" si="1"/>
        <v>0.206246317</v>
      </c>
      <c r="D20" s="1" t="s">
        <v>21</v>
      </c>
      <c r="E20" s="1" t="s">
        <v>22</v>
      </c>
      <c r="F20" s="1" t="s">
        <v>23</v>
      </c>
      <c r="G20" s="1" t="s">
        <v>24</v>
      </c>
      <c r="H20" s="1">
        <v>3.0</v>
      </c>
    </row>
    <row r="21">
      <c r="A21" s="1">
        <v>20.65</v>
      </c>
      <c r="B21" s="1">
        <v>3.35</v>
      </c>
      <c r="C21" s="1">
        <f t="shared" si="1"/>
        <v>0.1622276029</v>
      </c>
      <c r="D21" s="1" t="s">
        <v>25</v>
      </c>
      <c r="E21" s="1" t="s">
        <v>22</v>
      </c>
      <c r="F21" s="1" t="s">
        <v>26</v>
      </c>
      <c r="G21" s="1" t="s">
        <v>24</v>
      </c>
      <c r="H21" s="1">
        <v>3.0</v>
      </c>
    </row>
    <row r="22">
      <c r="A22" s="1">
        <v>17.92</v>
      </c>
      <c r="B22" s="1">
        <v>4.08</v>
      </c>
      <c r="C22" s="1">
        <f t="shared" si="1"/>
        <v>0.2276785714</v>
      </c>
      <c r="D22" s="1" t="s">
        <v>25</v>
      </c>
      <c r="E22" s="1" t="s">
        <v>22</v>
      </c>
      <c r="F22" s="1" t="s">
        <v>26</v>
      </c>
      <c r="G22" s="1" t="s">
        <v>24</v>
      </c>
      <c r="H22" s="1">
        <v>2.0</v>
      </c>
    </row>
    <row r="23">
      <c r="A23" s="1">
        <v>20.29</v>
      </c>
      <c r="B23" s="1">
        <v>2.75</v>
      </c>
      <c r="C23" s="1">
        <f t="shared" si="1"/>
        <v>0.1355347462</v>
      </c>
      <c r="D23" s="1" t="s">
        <v>21</v>
      </c>
      <c r="E23" s="1" t="s">
        <v>22</v>
      </c>
      <c r="F23" s="1" t="s">
        <v>26</v>
      </c>
      <c r="G23" s="1" t="s">
        <v>24</v>
      </c>
      <c r="H23" s="1">
        <v>2.0</v>
      </c>
    </row>
    <row r="24">
      <c r="A24" s="1">
        <v>15.77</v>
      </c>
      <c r="B24" s="1">
        <v>2.23</v>
      </c>
      <c r="C24" s="1">
        <f t="shared" si="1"/>
        <v>0.1414077362</v>
      </c>
      <c r="D24" s="1" t="s">
        <v>21</v>
      </c>
      <c r="E24" s="1" t="s">
        <v>22</v>
      </c>
      <c r="F24" s="1" t="s">
        <v>26</v>
      </c>
      <c r="G24" s="1" t="s">
        <v>24</v>
      </c>
      <c r="H24" s="1">
        <v>2.0</v>
      </c>
    </row>
    <row r="25">
      <c r="A25" s="1">
        <v>39.42</v>
      </c>
      <c r="B25" s="1">
        <v>7.58</v>
      </c>
      <c r="C25" s="1">
        <f t="shared" si="1"/>
        <v>0.1922881786</v>
      </c>
      <c r="D25" s="1" t="s">
        <v>25</v>
      </c>
      <c r="E25" s="1" t="s">
        <v>22</v>
      </c>
      <c r="F25" s="1" t="s">
        <v>26</v>
      </c>
      <c r="G25" s="1" t="s">
        <v>24</v>
      </c>
      <c r="H25" s="1">
        <v>4.0</v>
      </c>
    </row>
    <row r="26">
      <c r="A26" s="1">
        <v>19.82</v>
      </c>
      <c r="B26" s="1">
        <v>3.18</v>
      </c>
      <c r="C26" s="1">
        <f t="shared" si="1"/>
        <v>0.160443996</v>
      </c>
      <c r="D26" s="1" t="s">
        <v>25</v>
      </c>
      <c r="E26" s="1" t="s">
        <v>22</v>
      </c>
      <c r="F26" s="1" t="s">
        <v>26</v>
      </c>
      <c r="G26" s="1" t="s">
        <v>24</v>
      </c>
      <c r="H26" s="1">
        <v>2.0</v>
      </c>
    </row>
    <row r="27">
      <c r="A27" s="1">
        <v>17.81</v>
      </c>
      <c r="B27" s="1">
        <v>2.34</v>
      </c>
      <c r="C27" s="1">
        <f t="shared" si="1"/>
        <v>0.1313868613</v>
      </c>
      <c r="D27" s="1" t="s">
        <v>25</v>
      </c>
      <c r="E27" s="1" t="s">
        <v>22</v>
      </c>
      <c r="F27" s="1" t="s">
        <v>26</v>
      </c>
      <c r="G27" s="1" t="s">
        <v>24</v>
      </c>
      <c r="H27" s="1">
        <v>4.0</v>
      </c>
    </row>
    <row r="28">
      <c r="A28" s="1">
        <v>13.37</v>
      </c>
      <c r="B28" s="1">
        <v>2.0</v>
      </c>
      <c r="C28" s="1">
        <f t="shared" si="1"/>
        <v>0.1495886313</v>
      </c>
      <c r="D28" s="1" t="s">
        <v>25</v>
      </c>
      <c r="E28" s="1" t="s">
        <v>22</v>
      </c>
      <c r="F28" s="1" t="s">
        <v>26</v>
      </c>
      <c r="G28" s="1" t="s">
        <v>24</v>
      </c>
      <c r="H28" s="1">
        <v>2.0</v>
      </c>
    </row>
    <row r="29">
      <c r="A29" s="1">
        <v>12.69</v>
      </c>
      <c r="B29" s="1">
        <v>2.0</v>
      </c>
      <c r="C29" s="1">
        <f t="shared" si="1"/>
        <v>0.1576044129</v>
      </c>
      <c r="D29" s="1" t="s">
        <v>25</v>
      </c>
      <c r="E29" s="1" t="s">
        <v>22</v>
      </c>
      <c r="F29" s="1" t="s">
        <v>26</v>
      </c>
      <c r="G29" s="1" t="s">
        <v>24</v>
      </c>
      <c r="H29" s="1">
        <v>2.0</v>
      </c>
    </row>
    <row r="30">
      <c r="A30" s="1">
        <v>21.7</v>
      </c>
      <c r="B30" s="1">
        <v>4.3</v>
      </c>
      <c r="C30" s="1">
        <f t="shared" si="1"/>
        <v>0.198156682</v>
      </c>
      <c r="D30" s="1" t="s">
        <v>25</v>
      </c>
      <c r="E30" s="1" t="s">
        <v>22</v>
      </c>
      <c r="F30" s="1" t="s">
        <v>26</v>
      </c>
      <c r="G30" s="1" t="s">
        <v>24</v>
      </c>
      <c r="H30" s="1">
        <v>2.0</v>
      </c>
    </row>
    <row r="31">
      <c r="A31" s="1">
        <v>19.65</v>
      </c>
      <c r="B31" s="1">
        <v>3.0</v>
      </c>
      <c r="C31" s="1">
        <f t="shared" si="1"/>
        <v>0.1526717557</v>
      </c>
      <c r="D31" s="1" t="s">
        <v>21</v>
      </c>
      <c r="E31" s="1" t="s">
        <v>22</v>
      </c>
      <c r="F31" s="1" t="s">
        <v>26</v>
      </c>
      <c r="G31" s="1" t="s">
        <v>24</v>
      </c>
      <c r="H31" s="1">
        <v>2.0</v>
      </c>
    </row>
    <row r="32">
      <c r="A32" s="1">
        <v>9.55</v>
      </c>
      <c r="B32" s="1">
        <v>1.45</v>
      </c>
      <c r="C32" s="1">
        <f t="shared" si="1"/>
        <v>0.1518324607</v>
      </c>
      <c r="D32" s="1" t="s">
        <v>25</v>
      </c>
      <c r="E32" s="1" t="s">
        <v>22</v>
      </c>
      <c r="F32" s="1" t="s">
        <v>26</v>
      </c>
      <c r="G32" s="1" t="s">
        <v>24</v>
      </c>
      <c r="H32" s="1">
        <v>2.0</v>
      </c>
    </row>
    <row r="33">
      <c r="A33" s="1">
        <v>18.35</v>
      </c>
      <c r="B33" s="1">
        <v>2.5</v>
      </c>
      <c r="C33" s="1">
        <f t="shared" si="1"/>
        <v>0.136239782</v>
      </c>
      <c r="D33" s="1" t="s">
        <v>25</v>
      </c>
      <c r="E33" s="1" t="s">
        <v>22</v>
      </c>
      <c r="F33" s="1" t="s">
        <v>26</v>
      </c>
      <c r="G33" s="1" t="s">
        <v>24</v>
      </c>
      <c r="H33" s="1">
        <v>4.0</v>
      </c>
    </row>
    <row r="34">
      <c r="A34" s="1">
        <v>15.06</v>
      </c>
      <c r="B34" s="1">
        <v>3.0</v>
      </c>
      <c r="C34" s="1">
        <f t="shared" si="1"/>
        <v>0.1992031873</v>
      </c>
      <c r="D34" s="1" t="s">
        <v>21</v>
      </c>
      <c r="E34" s="1" t="s">
        <v>22</v>
      </c>
      <c r="F34" s="1" t="s">
        <v>26</v>
      </c>
      <c r="G34" s="1" t="s">
        <v>24</v>
      </c>
      <c r="H34" s="1">
        <v>2.0</v>
      </c>
    </row>
    <row r="35">
      <c r="A35" s="1">
        <v>20.69</v>
      </c>
      <c r="B35" s="1">
        <v>2.45</v>
      </c>
      <c r="C35" s="1">
        <f t="shared" si="1"/>
        <v>0.1184146931</v>
      </c>
      <c r="D35" s="1" t="s">
        <v>21</v>
      </c>
      <c r="E35" s="1" t="s">
        <v>22</v>
      </c>
      <c r="F35" s="1" t="s">
        <v>26</v>
      </c>
      <c r="G35" s="1" t="s">
        <v>24</v>
      </c>
      <c r="H35" s="1">
        <v>4.0</v>
      </c>
    </row>
    <row r="36">
      <c r="A36" s="1">
        <v>17.78</v>
      </c>
      <c r="B36" s="1">
        <v>3.27</v>
      </c>
      <c r="C36" s="1">
        <f t="shared" si="1"/>
        <v>0.1839145107</v>
      </c>
      <c r="D36" s="1" t="s">
        <v>25</v>
      </c>
      <c r="E36" s="1" t="s">
        <v>22</v>
      </c>
      <c r="F36" s="1" t="s">
        <v>26</v>
      </c>
      <c r="G36" s="1" t="s">
        <v>24</v>
      </c>
      <c r="H36" s="1">
        <v>2.0</v>
      </c>
    </row>
    <row r="37">
      <c r="A37" s="1">
        <v>24.06</v>
      </c>
      <c r="B37" s="1">
        <v>3.6</v>
      </c>
      <c r="C37" s="1">
        <f t="shared" si="1"/>
        <v>0.1496259352</v>
      </c>
      <c r="D37" s="1" t="s">
        <v>25</v>
      </c>
      <c r="E37" s="1" t="s">
        <v>22</v>
      </c>
      <c r="F37" s="1" t="s">
        <v>26</v>
      </c>
      <c r="G37" s="1" t="s">
        <v>24</v>
      </c>
      <c r="H37" s="1">
        <v>3.0</v>
      </c>
    </row>
    <row r="38">
      <c r="A38" s="1">
        <v>16.31</v>
      </c>
      <c r="B38" s="1">
        <v>2.0</v>
      </c>
      <c r="C38" s="1">
        <f t="shared" si="1"/>
        <v>0.122624157</v>
      </c>
      <c r="D38" s="1" t="s">
        <v>25</v>
      </c>
      <c r="E38" s="1" t="s">
        <v>22</v>
      </c>
      <c r="F38" s="1" t="s">
        <v>26</v>
      </c>
      <c r="G38" s="1" t="s">
        <v>24</v>
      </c>
      <c r="H38" s="1">
        <v>3.0</v>
      </c>
    </row>
    <row r="39">
      <c r="A39" s="1">
        <v>16.93</v>
      </c>
      <c r="B39" s="1">
        <v>3.07</v>
      </c>
      <c r="C39" s="1">
        <f t="shared" si="1"/>
        <v>0.1813349084</v>
      </c>
      <c r="D39" s="1" t="s">
        <v>21</v>
      </c>
      <c r="E39" s="1" t="s">
        <v>22</v>
      </c>
      <c r="F39" s="1" t="s">
        <v>26</v>
      </c>
      <c r="G39" s="1" t="s">
        <v>24</v>
      </c>
      <c r="H39" s="1">
        <v>3.0</v>
      </c>
    </row>
    <row r="40">
      <c r="A40" s="1">
        <v>18.69</v>
      </c>
      <c r="B40" s="1">
        <v>2.31</v>
      </c>
      <c r="C40" s="1">
        <f t="shared" si="1"/>
        <v>0.1235955056</v>
      </c>
      <c r="D40" s="1" t="s">
        <v>25</v>
      </c>
      <c r="E40" s="1" t="s">
        <v>22</v>
      </c>
      <c r="F40" s="1" t="s">
        <v>26</v>
      </c>
      <c r="G40" s="1" t="s">
        <v>24</v>
      </c>
      <c r="H40" s="1">
        <v>3.0</v>
      </c>
    </row>
    <row r="41">
      <c r="A41" s="1">
        <v>31.27</v>
      </c>
      <c r="B41" s="1">
        <v>5.0</v>
      </c>
      <c r="C41" s="1">
        <f t="shared" si="1"/>
        <v>0.1598976655</v>
      </c>
      <c r="D41" s="1" t="s">
        <v>25</v>
      </c>
      <c r="E41" s="1" t="s">
        <v>22</v>
      </c>
      <c r="F41" s="1" t="s">
        <v>26</v>
      </c>
      <c r="G41" s="1" t="s">
        <v>24</v>
      </c>
      <c r="H41" s="1">
        <v>3.0</v>
      </c>
    </row>
    <row r="42">
      <c r="A42" s="1">
        <v>16.04</v>
      </c>
      <c r="B42" s="1">
        <v>2.24</v>
      </c>
      <c r="C42" s="1">
        <f t="shared" si="1"/>
        <v>0.1396508728</v>
      </c>
      <c r="D42" s="1" t="s">
        <v>25</v>
      </c>
      <c r="E42" s="1" t="s">
        <v>22</v>
      </c>
      <c r="F42" s="1" t="s">
        <v>26</v>
      </c>
      <c r="G42" s="1" t="s">
        <v>24</v>
      </c>
      <c r="H42" s="1">
        <v>3.0</v>
      </c>
    </row>
    <row r="43">
      <c r="A43" s="1">
        <v>17.46</v>
      </c>
      <c r="B43" s="1">
        <v>2.54</v>
      </c>
      <c r="C43" s="1">
        <f t="shared" si="1"/>
        <v>0.1454753723</v>
      </c>
      <c r="D43" s="1" t="s">
        <v>25</v>
      </c>
      <c r="E43" s="1" t="s">
        <v>22</v>
      </c>
      <c r="F43" s="1" t="s">
        <v>23</v>
      </c>
      <c r="G43" s="1" t="s">
        <v>24</v>
      </c>
      <c r="H43" s="1">
        <v>2.0</v>
      </c>
    </row>
    <row r="44">
      <c r="A44" s="1">
        <v>13.94</v>
      </c>
      <c r="B44" s="1">
        <v>3.06</v>
      </c>
      <c r="C44" s="1">
        <f t="shared" si="1"/>
        <v>0.2195121951</v>
      </c>
      <c r="D44" s="1" t="s">
        <v>25</v>
      </c>
      <c r="E44" s="1" t="s">
        <v>22</v>
      </c>
      <c r="F44" s="1" t="s">
        <v>23</v>
      </c>
      <c r="G44" s="1" t="s">
        <v>24</v>
      </c>
      <c r="H44" s="1">
        <v>2.0</v>
      </c>
    </row>
    <row r="45">
      <c r="A45" s="1">
        <v>9.68</v>
      </c>
      <c r="B45" s="1">
        <v>1.32</v>
      </c>
      <c r="C45" s="1">
        <f t="shared" si="1"/>
        <v>0.1363636364</v>
      </c>
      <c r="D45" s="1" t="s">
        <v>25</v>
      </c>
      <c r="E45" s="1" t="s">
        <v>22</v>
      </c>
      <c r="F45" s="1" t="s">
        <v>23</v>
      </c>
      <c r="G45" s="1" t="s">
        <v>24</v>
      </c>
      <c r="H45" s="1">
        <v>2.0</v>
      </c>
    </row>
    <row r="46">
      <c r="A46" s="1">
        <v>30.4</v>
      </c>
      <c r="B46" s="1">
        <v>5.6</v>
      </c>
      <c r="C46" s="1">
        <f t="shared" si="1"/>
        <v>0.1842105263</v>
      </c>
      <c r="D46" s="1" t="s">
        <v>25</v>
      </c>
      <c r="E46" s="1" t="s">
        <v>22</v>
      </c>
      <c r="F46" s="1" t="s">
        <v>23</v>
      </c>
      <c r="G46" s="1" t="s">
        <v>24</v>
      </c>
      <c r="H46" s="1">
        <v>4.0</v>
      </c>
    </row>
    <row r="47">
      <c r="A47" s="1">
        <v>18.29</v>
      </c>
      <c r="B47" s="1">
        <v>3.0</v>
      </c>
      <c r="C47" s="1">
        <f t="shared" si="1"/>
        <v>0.1640240569</v>
      </c>
      <c r="D47" s="1" t="s">
        <v>25</v>
      </c>
      <c r="E47" s="1" t="s">
        <v>22</v>
      </c>
      <c r="F47" s="1" t="s">
        <v>23</v>
      </c>
      <c r="G47" s="1" t="s">
        <v>24</v>
      </c>
      <c r="H47" s="1">
        <v>2.0</v>
      </c>
    </row>
    <row r="48">
      <c r="A48" s="1">
        <v>22.23</v>
      </c>
      <c r="B48" s="1">
        <v>5.0</v>
      </c>
      <c r="C48" s="1">
        <f t="shared" si="1"/>
        <v>0.2249212776</v>
      </c>
      <c r="D48" s="1" t="s">
        <v>25</v>
      </c>
      <c r="E48" s="1" t="s">
        <v>22</v>
      </c>
      <c r="F48" s="1" t="s">
        <v>23</v>
      </c>
      <c r="G48" s="1" t="s">
        <v>24</v>
      </c>
      <c r="H48" s="1">
        <v>2.0</v>
      </c>
    </row>
    <row r="49">
      <c r="A49" s="1">
        <v>32.4</v>
      </c>
      <c r="B49" s="1">
        <v>6.0</v>
      </c>
      <c r="C49" s="1">
        <f t="shared" si="1"/>
        <v>0.1851851852</v>
      </c>
      <c r="D49" s="1" t="s">
        <v>25</v>
      </c>
      <c r="E49" s="1" t="s">
        <v>22</v>
      </c>
      <c r="F49" s="1" t="s">
        <v>23</v>
      </c>
      <c r="G49" s="1" t="s">
        <v>24</v>
      </c>
      <c r="H49" s="1">
        <v>4.0</v>
      </c>
    </row>
    <row r="50">
      <c r="A50" s="1">
        <v>28.55</v>
      </c>
      <c r="B50" s="1">
        <v>2.05</v>
      </c>
      <c r="C50" s="1">
        <f t="shared" si="1"/>
        <v>0.07180385289</v>
      </c>
      <c r="D50" s="1" t="s">
        <v>25</v>
      </c>
      <c r="E50" s="1" t="s">
        <v>22</v>
      </c>
      <c r="F50" s="1" t="s">
        <v>23</v>
      </c>
      <c r="G50" s="1" t="s">
        <v>24</v>
      </c>
      <c r="H50" s="1">
        <v>3.0</v>
      </c>
    </row>
    <row r="51">
      <c r="A51" s="1">
        <v>18.04</v>
      </c>
      <c r="B51" s="1">
        <v>3.0</v>
      </c>
      <c r="C51" s="1">
        <f t="shared" si="1"/>
        <v>0.1662971175</v>
      </c>
      <c r="D51" s="1" t="s">
        <v>25</v>
      </c>
      <c r="E51" s="1" t="s">
        <v>22</v>
      </c>
      <c r="F51" s="1" t="s">
        <v>23</v>
      </c>
      <c r="G51" s="1" t="s">
        <v>24</v>
      </c>
      <c r="H51" s="1">
        <v>2.0</v>
      </c>
    </row>
    <row r="52">
      <c r="A52" s="1">
        <v>12.54</v>
      </c>
      <c r="B52" s="1">
        <v>2.5</v>
      </c>
      <c r="C52" s="1">
        <f t="shared" si="1"/>
        <v>0.1993620415</v>
      </c>
      <c r="D52" s="1" t="s">
        <v>25</v>
      </c>
      <c r="E52" s="1" t="s">
        <v>22</v>
      </c>
      <c r="F52" s="1" t="s">
        <v>23</v>
      </c>
      <c r="G52" s="1" t="s">
        <v>24</v>
      </c>
      <c r="H52" s="1">
        <v>2.0</v>
      </c>
    </row>
    <row r="53">
      <c r="A53" s="1">
        <v>10.29</v>
      </c>
      <c r="B53" s="1">
        <v>2.6</v>
      </c>
      <c r="C53" s="1">
        <f t="shared" si="1"/>
        <v>0.2526724976</v>
      </c>
      <c r="D53" s="1" t="s">
        <v>21</v>
      </c>
      <c r="E53" s="1" t="s">
        <v>22</v>
      </c>
      <c r="F53" s="1" t="s">
        <v>23</v>
      </c>
      <c r="G53" s="1" t="s">
        <v>24</v>
      </c>
      <c r="H53" s="1">
        <v>2.0</v>
      </c>
    </row>
    <row r="54">
      <c r="A54" s="1">
        <v>34.81</v>
      </c>
      <c r="B54" s="1">
        <v>5.2</v>
      </c>
      <c r="C54" s="1">
        <f t="shared" si="1"/>
        <v>0.1493823614</v>
      </c>
      <c r="D54" s="1" t="s">
        <v>21</v>
      </c>
      <c r="E54" s="1" t="s">
        <v>22</v>
      </c>
      <c r="F54" s="1" t="s">
        <v>23</v>
      </c>
      <c r="G54" s="1" t="s">
        <v>24</v>
      </c>
      <c r="H54" s="1">
        <v>4.0</v>
      </c>
    </row>
    <row r="55">
      <c r="A55" s="1">
        <v>9.94</v>
      </c>
      <c r="B55" s="1">
        <v>1.56</v>
      </c>
      <c r="C55" s="1">
        <f t="shared" si="1"/>
        <v>0.1569416499</v>
      </c>
      <c r="D55" s="1" t="s">
        <v>25</v>
      </c>
      <c r="E55" s="1" t="s">
        <v>22</v>
      </c>
      <c r="F55" s="1" t="s">
        <v>23</v>
      </c>
      <c r="G55" s="1" t="s">
        <v>24</v>
      </c>
      <c r="H55" s="1">
        <v>2.0</v>
      </c>
    </row>
    <row r="56">
      <c r="A56" s="1">
        <v>25.56</v>
      </c>
      <c r="B56" s="1">
        <v>4.34</v>
      </c>
      <c r="C56" s="1">
        <f t="shared" si="1"/>
        <v>0.1697965571</v>
      </c>
      <c r="D56" s="1" t="s">
        <v>25</v>
      </c>
      <c r="E56" s="1" t="s">
        <v>22</v>
      </c>
      <c r="F56" s="1" t="s">
        <v>23</v>
      </c>
      <c r="G56" s="1" t="s">
        <v>24</v>
      </c>
      <c r="H56" s="1">
        <v>4.0</v>
      </c>
    </row>
    <row r="57">
      <c r="A57" s="1">
        <v>19.49</v>
      </c>
      <c r="B57" s="1">
        <v>3.51</v>
      </c>
      <c r="C57" s="1">
        <f t="shared" si="1"/>
        <v>0.1800923551</v>
      </c>
      <c r="D57" s="1" t="s">
        <v>25</v>
      </c>
      <c r="E57" s="1" t="s">
        <v>22</v>
      </c>
      <c r="F57" s="1" t="s">
        <v>23</v>
      </c>
      <c r="G57" s="1" t="s">
        <v>24</v>
      </c>
      <c r="H57" s="1">
        <v>2.0</v>
      </c>
    </row>
    <row r="58">
      <c r="A58" s="1">
        <v>38.01</v>
      </c>
      <c r="B58" s="1">
        <v>3.0</v>
      </c>
      <c r="C58" s="1">
        <f t="shared" si="1"/>
        <v>0.07892659826</v>
      </c>
      <c r="D58" s="1" t="s">
        <v>25</v>
      </c>
      <c r="E58" s="1" t="s">
        <v>27</v>
      </c>
      <c r="F58" s="1" t="s">
        <v>26</v>
      </c>
      <c r="G58" s="1" t="s">
        <v>24</v>
      </c>
      <c r="H58" s="1">
        <v>4.0</v>
      </c>
    </row>
    <row r="59">
      <c r="A59" s="1">
        <v>26.41</v>
      </c>
      <c r="B59" s="1">
        <v>1.5</v>
      </c>
      <c r="C59" s="1">
        <f t="shared" si="1"/>
        <v>0.05679666793</v>
      </c>
      <c r="D59" s="1" t="s">
        <v>21</v>
      </c>
      <c r="E59" s="1" t="s">
        <v>22</v>
      </c>
      <c r="F59" s="1" t="s">
        <v>26</v>
      </c>
      <c r="G59" s="1" t="s">
        <v>24</v>
      </c>
      <c r="H59" s="1">
        <v>2.0</v>
      </c>
    </row>
    <row r="60">
      <c r="A60" s="1">
        <v>11.24</v>
      </c>
      <c r="B60" s="1">
        <v>1.76</v>
      </c>
      <c r="C60" s="1">
        <f t="shared" si="1"/>
        <v>0.1565836299</v>
      </c>
      <c r="D60" s="1" t="s">
        <v>25</v>
      </c>
      <c r="E60" s="1" t="s">
        <v>27</v>
      </c>
      <c r="F60" s="1" t="s">
        <v>26</v>
      </c>
      <c r="G60" s="1" t="s">
        <v>24</v>
      </c>
      <c r="H60" s="1">
        <v>2.0</v>
      </c>
    </row>
    <row r="61">
      <c r="A61" s="1">
        <v>48.27</v>
      </c>
      <c r="B61" s="1">
        <v>6.73</v>
      </c>
      <c r="C61" s="1">
        <f t="shared" si="1"/>
        <v>0.1394240729</v>
      </c>
      <c r="D61" s="1" t="s">
        <v>25</v>
      </c>
      <c r="E61" s="1" t="s">
        <v>22</v>
      </c>
      <c r="F61" s="1" t="s">
        <v>26</v>
      </c>
      <c r="G61" s="1" t="s">
        <v>24</v>
      </c>
      <c r="H61" s="1">
        <v>4.0</v>
      </c>
    </row>
    <row r="62">
      <c r="A62" s="1">
        <v>20.29</v>
      </c>
      <c r="B62" s="1">
        <v>3.21</v>
      </c>
      <c r="C62" s="1">
        <f t="shared" si="1"/>
        <v>0.1582060128</v>
      </c>
      <c r="D62" s="1" t="s">
        <v>25</v>
      </c>
      <c r="E62" s="1" t="s">
        <v>27</v>
      </c>
      <c r="F62" s="1" t="s">
        <v>26</v>
      </c>
      <c r="G62" s="1" t="s">
        <v>24</v>
      </c>
      <c r="H62" s="1">
        <v>2.0</v>
      </c>
    </row>
    <row r="63">
      <c r="A63" s="1">
        <v>13.81</v>
      </c>
      <c r="B63" s="1">
        <v>2.0</v>
      </c>
      <c r="C63" s="1">
        <f t="shared" si="1"/>
        <v>0.1448225923</v>
      </c>
      <c r="D63" s="1" t="s">
        <v>25</v>
      </c>
      <c r="E63" s="1" t="s">
        <v>27</v>
      </c>
      <c r="F63" s="1" t="s">
        <v>26</v>
      </c>
      <c r="G63" s="1" t="s">
        <v>24</v>
      </c>
      <c r="H63" s="1">
        <v>2.0</v>
      </c>
    </row>
    <row r="64">
      <c r="A64" s="1">
        <v>11.02</v>
      </c>
      <c r="B64" s="1">
        <v>1.98</v>
      </c>
      <c r="C64" s="1">
        <f t="shared" si="1"/>
        <v>0.1796733212</v>
      </c>
      <c r="D64" s="1" t="s">
        <v>25</v>
      </c>
      <c r="E64" s="1" t="s">
        <v>27</v>
      </c>
      <c r="F64" s="1" t="s">
        <v>26</v>
      </c>
      <c r="G64" s="1" t="s">
        <v>24</v>
      </c>
      <c r="H64" s="1">
        <v>2.0</v>
      </c>
    </row>
    <row r="65">
      <c r="A65" s="1">
        <v>18.29</v>
      </c>
      <c r="B65" s="1">
        <v>3.76</v>
      </c>
      <c r="C65" s="1">
        <f t="shared" si="1"/>
        <v>0.2055768179</v>
      </c>
      <c r="D65" s="1" t="s">
        <v>25</v>
      </c>
      <c r="E65" s="1" t="s">
        <v>27</v>
      </c>
      <c r="F65" s="1" t="s">
        <v>26</v>
      </c>
      <c r="G65" s="1" t="s">
        <v>24</v>
      </c>
      <c r="H65" s="1">
        <v>4.0</v>
      </c>
    </row>
    <row r="66">
      <c r="A66" s="1">
        <v>17.59</v>
      </c>
      <c r="B66" s="1">
        <v>2.64</v>
      </c>
      <c r="C66" s="1">
        <f t="shared" si="1"/>
        <v>0.1500852757</v>
      </c>
      <c r="D66" s="1" t="s">
        <v>25</v>
      </c>
      <c r="E66" s="1" t="s">
        <v>22</v>
      </c>
      <c r="F66" s="1" t="s">
        <v>26</v>
      </c>
      <c r="G66" s="1" t="s">
        <v>24</v>
      </c>
      <c r="H66" s="1">
        <v>3.0</v>
      </c>
    </row>
    <row r="67">
      <c r="A67" s="1">
        <v>20.08</v>
      </c>
      <c r="B67" s="1">
        <v>3.15</v>
      </c>
      <c r="C67" s="1">
        <f t="shared" si="1"/>
        <v>0.15687251</v>
      </c>
      <c r="D67" s="1" t="s">
        <v>25</v>
      </c>
      <c r="E67" s="1" t="s">
        <v>22</v>
      </c>
      <c r="F67" s="1" t="s">
        <v>26</v>
      </c>
      <c r="G67" s="1" t="s">
        <v>24</v>
      </c>
      <c r="H67" s="1">
        <v>3.0</v>
      </c>
    </row>
    <row r="68">
      <c r="A68" s="1">
        <v>16.45</v>
      </c>
      <c r="B68" s="1">
        <v>2.47</v>
      </c>
      <c r="C68" s="1">
        <f t="shared" si="1"/>
        <v>0.1501519757</v>
      </c>
      <c r="D68" s="1" t="s">
        <v>21</v>
      </c>
      <c r="E68" s="1" t="s">
        <v>22</v>
      </c>
      <c r="F68" s="1" t="s">
        <v>26</v>
      </c>
      <c r="G68" s="1" t="s">
        <v>24</v>
      </c>
      <c r="H68" s="1">
        <v>2.0</v>
      </c>
    </row>
    <row r="69">
      <c r="A69" s="1">
        <v>3.07</v>
      </c>
      <c r="B69" s="1">
        <v>1.0</v>
      </c>
      <c r="C69" s="1">
        <f t="shared" si="1"/>
        <v>0.325732899</v>
      </c>
      <c r="D69" s="1" t="s">
        <v>21</v>
      </c>
      <c r="E69" s="1" t="s">
        <v>27</v>
      </c>
      <c r="F69" s="1" t="s">
        <v>26</v>
      </c>
      <c r="G69" s="1" t="s">
        <v>24</v>
      </c>
      <c r="H69" s="1">
        <v>1.0</v>
      </c>
    </row>
    <row r="70">
      <c r="A70" s="1">
        <v>20.23</v>
      </c>
      <c r="B70" s="1">
        <v>2.01</v>
      </c>
      <c r="C70" s="1">
        <f t="shared" si="1"/>
        <v>0.09935739001</v>
      </c>
      <c r="D70" s="1" t="s">
        <v>25</v>
      </c>
      <c r="E70" s="1" t="s">
        <v>22</v>
      </c>
      <c r="F70" s="1" t="s">
        <v>26</v>
      </c>
      <c r="G70" s="1" t="s">
        <v>24</v>
      </c>
      <c r="H70" s="1">
        <v>2.0</v>
      </c>
    </row>
    <row r="71">
      <c r="A71" s="1">
        <v>15.01</v>
      </c>
      <c r="B71" s="1">
        <v>2.09</v>
      </c>
      <c r="C71" s="1">
        <f t="shared" si="1"/>
        <v>0.1392405063</v>
      </c>
      <c r="D71" s="1" t="s">
        <v>25</v>
      </c>
      <c r="E71" s="1" t="s">
        <v>27</v>
      </c>
      <c r="F71" s="1" t="s">
        <v>26</v>
      </c>
      <c r="G71" s="1" t="s">
        <v>24</v>
      </c>
      <c r="H71" s="1">
        <v>2.0</v>
      </c>
    </row>
    <row r="72">
      <c r="A72" s="1">
        <v>12.02</v>
      </c>
      <c r="B72" s="1">
        <v>1.97</v>
      </c>
      <c r="C72" s="1">
        <f t="shared" si="1"/>
        <v>0.1638935108</v>
      </c>
      <c r="D72" s="1" t="s">
        <v>25</v>
      </c>
      <c r="E72" s="1" t="s">
        <v>22</v>
      </c>
      <c r="F72" s="1" t="s">
        <v>26</v>
      </c>
      <c r="G72" s="1" t="s">
        <v>24</v>
      </c>
      <c r="H72" s="1">
        <v>2.0</v>
      </c>
    </row>
    <row r="73">
      <c r="A73" s="1">
        <v>17.07</v>
      </c>
      <c r="B73" s="1">
        <v>3.0</v>
      </c>
      <c r="C73" s="1">
        <f t="shared" si="1"/>
        <v>0.1757469244</v>
      </c>
      <c r="D73" s="1" t="s">
        <v>21</v>
      </c>
      <c r="E73" s="1" t="s">
        <v>22</v>
      </c>
      <c r="F73" s="1" t="s">
        <v>26</v>
      </c>
      <c r="G73" s="1" t="s">
        <v>24</v>
      </c>
      <c r="H73" s="1">
        <v>3.0</v>
      </c>
    </row>
    <row r="74">
      <c r="A74" s="1">
        <v>26.86</v>
      </c>
      <c r="B74" s="1">
        <v>3.14</v>
      </c>
      <c r="C74" s="1">
        <f t="shared" si="1"/>
        <v>0.1169024572</v>
      </c>
      <c r="D74" s="1" t="s">
        <v>21</v>
      </c>
      <c r="E74" s="1" t="s">
        <v>27</v>
      </c>
      <c r="F74" s="1" t="s">
        <v>26</v>
      </c>
      <c r="G74" s="1" t="s">
        <v>24</v>
      </c>
      <c r="H74" s="1">
        <v>2.0</v>
      </c>
    </row>
    <row r="75">
      <c r="A75" s="1">
        <v>25.28</v>
      </c>
      <c r="B75" s="1">
        <v>5.0</v>
      </c>
      <c r="C75" s="1">
        <f t="shared" si="1"/>
        <v>0.1977848101</v>
      </c>
      <c r="D75" s="1" t="s">
        <v>21</v>
      </c>
      <c r="E75" s="1" t="s">
        <v>27</v>
      </c>
      <c r="F75" s="1" t="s">
        <v>26</v>
      </c>
      <c r="G75" s="1" t="s">
        <v>24</v>
      </c>
      <c r="H75" s="1">
        <v>2.0</v>
      </c>
    </row>
    <row r="76">
      <c r="A76" s="1">
        <v>14.73</v>
      </c>
      <c r="B76" s="1">
        <v>2.2</v>
      </c>
      <c r="C76" s="1">
        <f t="shared" si="1"/>
        <v>0.1493550577</v>
      </c>
      <c r="D76" s="1" t="s">
        <v>21</v>
      </c>
      <c r="E76" s="1" t="s">
        <v>22</v>
      </c>
      <c r="F76" s="1" t="s">
        <v>26</v>
      </c>
      <c r="G76" s="1" t="s">
        <v>24</v>
      </c>
      <c r="H76" s="1">
        <v>2.0</v>
      </c>
    </row>
    <row r="77">
      <c r="A77" s="1">
        <v>10.51</v>
      </c>
      <c r="B77" s="1">
        <v>1.25</v>
      </c>
      <c r="C77" s="1">
        <f t="shared" si="1"/>
        <v>0.1189343482</v>
      </c>
      <c r="D77" s="1" t="s">
        <v>25</v>
      </c>
      <c r="E77" s="1" t="s">
        <v>22</v>
      </c>
      <c r="F77" s="1" t="s">
        <v>26</v>
      </c>
      <c r="G77" s="1" t="s">
        <v>24</v>
      </c>
      <c r="H77" s="1">
        <v>2.0</v>
      </c>
    </row>
    <row r="78">
      <c r="A78" s="1">
        <v>17.92</v>
      </c>
      <c r="B78" s="1">
        <v>3.08</v>
      </c>
      <c r="C78" s="1">
        <f t="shared" si="1"/>
        <v>0.171875</v>
      </c>
      <c r="D78" s="1" t="s">
        <v>25</v>
      </c>
      <c r="E78" s="1" t="s">
        <v>27</v>
      </c>
      <c r="F78" s="1" t="s">
        <v>26</v>
      </c>
      <c r="G78" s="1" t="s">
        <v>24</v>
      </c>
      <c r="H78" s="1">
        <v>2.0</v>
      </c>
    </row>
    <row r="79">
      <c r="A79" s="1">
        <v>27.2</v>
      </c>
      <c r="B79" s="1">
        <v>4.0</v>
      </c>
      <c r="C79" s="1">
        <f t="shared" si="1"/>
        <v>0.1470588235</v>
      </c>
      <c r="D79" s="1" t="s">
        <v>25</v>
      </c>
      <c r="E79" s="1" t="s">
        <v>22</v>
      </c>
      <c r="F79" s="1" t="s">
        <v>28</v>
      </c>
      <c r="G79" s="1" t="s">
        <v>29</v>
      </c>
      <c r="H79" s="1">
        <v>4.0</v>
      </c>
    </row>
    <row r="80">
      <c r="A80" s="1">
        <v>22.76</v>
      </c>
      <c r="B80" s="1">
        <v>3.0</v>
      </c>
      <c r="C80" s="1">
        <f t="shared" si="1"/>
        <v>0.1318101933</v>
      </c>
      <c r="D80" s="1" t="s">
        <v>25</v>
      </c>
      <c r="E80" s="1" t="s">
        <v>22</v>
      </c>
      <c r="F80" s="1" t="s">
        <v>28</v>
      </c>
      <c r="G80" s="1" t="s">
        <v>29</v>
      </c>
      <c r="H80" s="1">
        <v>2.0</v>
      </c>
    </row>
    <row r="81">
      <c r="A81" s="1">
        <v>17.29</v>
      </c>
      <c r="B81" s="1">
        <v>2.71</v>
      </c>
      <c r="C81" s="1">
        <f t="shared" si="1"/>
        <v>0.1567379988</v>
      </c>
      <c r="D81" s="1" t="s">
        <v>25</v>
      </c>
      <c r="E81" s="1" t="s">
        <v>22</v>
      </c>
      <c r="F81" s="1" t="s">
        <v>28</v>
      </c>
      <c r="G81" s="1" t="s">
        <v>29</v>
      </c>
      <c r="H81" s="1">
        <v>2.0</v>
      </c>
    </row>
    <row r="82">
      <c r="A82" s="1">
        <v>19.44</v>
      </c>
      <c r="B82" s="1">
        <v>3.0</v>
      </c>
      <c r="C82" s="1">
        <f t="shared" si="1"/>
        <v>0.1543209877</v>
      </c>
      <c r="D82" s="1" t="s">
        <v>25</v>
      </c>
      <c r="E82" s="1" t="s">
        <v>27</v>
      </c>
      <c r="F82" s="1" t="s">
        <v>28</v>
      </c>
      <c r="G82" s="1" t="s">
        <v>29</v>
      </c>
      <c r="H82" s="1">
        <v>2.0</v>
      </c>
    </row>
    <row r="83">
      <c r="A83" s="1">
        <v>16.66</v>
      </c>
      <c r="B83" s="1">
        <v>3.4</v>
      </c>
      <c r="C83" s="1">
        <f t="shared" si="1"/>
        <v>0.2040816327</v>
      </c>
      <c r="D83" s="1" t="s">
        <v>25</v>
      </c>
      <c r="E83" s="1" t="s">
        <v>22</v>
      </c>
      <c r="F83" s="1" t="s">
        <v>28</v>
      </c>
      <c r="G83" s="1" t="s">
        <v>29</v>
      </c>
      <c r="H83" s="1">
        <v>2.0</v>
      </c>
    </row>
    <row r="84">
      <c r="A84" s="1">
        <v>10.07</v>
      </c>
      <c r="B84" s="1">
        <v>1.83</v>
      </c>
      <c r="C84" s="1">
        <f t="shared" si="1"/>
        <v>0.1817279047</v>
      </c>
      <c r="D84" s="1" t="s">
        <v>21</v>
      </c>
      <c r="E84" s="1" t="s">
        <v>22</v>
      </c>
      <c r="F84" s="1" t="s">
        <v>28</v>
      </c>
      <c r="G84" s="1" t="s">
        <v>29</v>
      </c>
      <c r="H84" s="1">
        <v>1.0</v>
      </c>
    </row>
    <row r="85">
      <c r="A85" s="1">
        <v>32.68</v>
      </c>
      <c r="B85" s="1">
        <v>5.0</v>
      </c>
      <c r="C85" s="1">
        <f t="shared" si="1"/>
        <v>0.152998776</v>
      </c>
      <c r="D85" s="1" t="s">
        <v>25</v>
      </c>
      <c r="E85" s="1" t="s">
        <v>27</v>
      </c>
      <c r="F85" s="1" t="s">
        <v>28</v>
      </c>
      <c r="G85" s="1" t="s">
        <v>29</v>
      </c>
      <c r="H85" s="1">
        <v>2.0</v>
      </c>
    </row>
    <row r="86">
      <c r="A86" s="1">
        <v>15.98</v>
      </c>
      <c r="B86" s="1">
        <v>2.03</v>
      </c>
      <c r="C86" s="1">
        <f t="shared" si="1"/>
        <v>0.1270337922</v>
      </c>
      <c r="D86" s="1" t="s">
        <v>25</v>
      </c>
      <c r="E86" s="1" t="s">
        <v>22</v>
      </c>
      <c r="F86" s="1" t="s">
        <v>28</v>
      </c>
      <c r="G86" s="1" t="s">
        <v>29</v>
      </c>
      <c r="H86" s="1">
        <v>2.0</v>
      </c>
    </row>
    <row r="87">
      <c r="A87" s="1">
        <v>34.83</v>
      </c>
      <c r="B87" s="1">
        <v>5.17</v>
      </c>
      <c r="C87" s="1">
        <f t="shared" si="1"/>
        <v>0.148435257</v>
      </c>
      <c r="D87" s="1" t="s">
        <v>21</v>
      </c>
      <c r="E87" s="1" t="s">
        <v>22</v>
      </c>
      <c r="F87" s="1" t="s">
        <v>28</v>
      </c>
      <c r="G87" s="1" t="s">
        <v>29</v>
      </c>
      <c r="H87" s="1">
        <v>4.0</v>
      </c>
    </row>
    <row r="88">
      <c r="A88" s="1">
        <v>13.03</v>
      </c>
      <c r="B88" s="1">
        <v>2.0</v>
      </c>
      <c r="C88" s="1">
        <f t="shared" si="1"/>
        <v>0.1534919417</v>
      </c>
      <c r="D88" s="1" t="s">
        <v>25</v>
      </c>
      <c r="E88" s="1" t="s">
        <v>22</v>
      </c>
      <c r="F88" s="1" t="s">
        <v>28</v>
      </c>
      <c r="G88" s="1" t="s">
        <v>29</v>
      </c>
      <c r="H88" s="1">
        <v>2.0</v>
      </c>
    </row>
    <row r="89">
      <c r="A89" s="1">
        <v>18.28</v>
      </c>
      <c r="B89" s="1">
        <v>4.0</v>
      </c>
      <c r="C89" s="1">
        <f t="shared" si="1"/>
        <v>0.2188183807</v>
      </c>
      <c r="D89" s="1" t="s">
        <v>25</v>
      </c>
      <c r="E89" s="1" t="s">
        <v>22</v>
      </c>
      <c r="F89" s="1" t="s">
        <v>28</v>
      </c>
      <c r="G89" s="1" t="s">
        <v>29</v>
      </c>
      <c r="H89" s="1">
        <v>2.0</v>
      </c>
    </row>
    <row r="90">
      <c r="A90" s="1">
        <v>24.71</v>
      </c>
      <c r="B90" s="1">
        <v>5.85</v>
      </c>
      <c r="C90" s="1">
        <f t="shared" si="1"/>
        <v>0.2367462566</v>
      </c>
      <c r="D90" s="1" t="s">
        <v>25</v>
      </c>
      <c r="E90" s="1" t="s">
        <v>22</v>
      </c>
      <c r="F90" s="1" t="s">
        <v>28</v>
      </c>
      <c r="G90" s="1" t="s">
        <v>29</v>
      </c>
      <c r="H90" s="1">
        <v>2.0</v>
      </c>
    </row>
    <row r="91">
      <c r="A91" s="1">
        <v>21.16</v>
      </c>
      <c r="B91" s="1">
        <v>3.0</v>
      </c>
      <c r="C91" s="1">
        <f t="shared" si="1"/>
        <v>0.1417769376</v>
      </c>
      <c r="D91" s="1" t="s">
        <v>25</v>
      </c>
      <c r="E91" s="1" t="s">
        <v>22</v>
      </c>
      <c r="F91" s="1" t="s">
        <v>28</v>
      </c>
      <c r="G91" s="1" t="s">
        <v>29</v>
      </c>
      <c r="H91" s="1">
        <v>2.0</v>
      </c>
    </row>
    <row r="92">
      <c r="A92" s="1">
        <v>28.97</v>
      </c>
      <c r="B92" s="1">
        <v>3.0</v>
      </c>
      <c r="C92" s="1">
        <f t="shared" si="1"/>
        <v>0.1035554021</v>
      </c>
      <c r="D92" s="1" t="s">
        <v>25</v>
      </c>
      <c r="E92" s="1" t="s">
        <v>27</v>
      </c>
      <c r="F92" s="1" t="s">
        <v>30</v>
      </c>
      <c r="G92" s="1" t="s">
        <v>24</v>
      </c>
      <c r="H92" s="1">
        <v>2.0</v>
      </c>
    </row>
    <row r="93">
      <c r="A93" s="1">
        <v>22.49</v>
      </c>
      <c r="B93" s="1">
        <v>3.5</v>
      </c>
      <c r="C93" s="1">
        <f t="shared" si="1"/>
        <v>0.1556247221</v>
      </c>
      <c r="D93" s="1" t="s">
        <v>25</v>
      </c>
      <c r="E93" s="1" t="s">
        <v>22</v>
      </c>
      <c r="F93" s="1" t="s">
        <v>30</v>
      </c>
      <c r="G93" s="1" t="s">
        <v>24</v>
      </c>
      <c r="H93" s="1">
        <v>2.0</v>
      </c>
    </row>
    <row r="94">
      <c r="A94" s="1">
        <v>5.75</v>
      </c>
      <c r="B94" s="1">
        <v>1.0</v>
      </c>
      <c r="C94" s="1">
        <f t="shared" si="1"/>
        <v>0.1739130435</v>
      </c>
      <c r="D94" s="1" t="s">
        <v>21</v>
      </c>
      <c r="E94" s="1" t="s">
        <v>27</v>
      </c>
      <c r="F94" s="1" t="s">
        <v>30</v>
      </c>
      <c r="G94" s="1" t="s">
        <v>24</v>
      </c>
      <c r="H94" s="1">
        <v>2.0</v>
      </c>
    </row>
    <row r="95">
      <c r="A95" s="1">
        <v>16.32</v>
      </c>
      <c r="B95" s="1">
        <v>4.3</v>
      </c>
      <c r="C95" s="1">
        <f t="shared" si="1"/>
        <v>0.2634803922</v>
      </c>
      <c r="D95" s="1" t="s">
        <v>21</v>
      </c>
      <c r="E95" s="1" t="s">
        <v>27</v>
      </c>
      <c r="F95" s="1" t="s">
        <v>30</v>
      </c>
      <c r="G95" s="1" t="s">
        <v>24</v>
      </c>
      <c r="H95" s="1">
        <v>2.0</v>
      </c>
    </row>
    <row r="96">
      <c r="A96" s="1">
        <v>22.75</v>
      </c>
      <c r="B96" s="1">
        <v>3.25</v>
      </c>
      <c r="C96" s="1">
        <f t="shared" si="1"/>
        <v>0.1428571429</v>
      </c>
      <c r="D96" s="1" t="s">
        <v>21</v>
      </c>
      <c r="E96" s="1" t="s">
        <v>22</v>
      </c>
      <c r="F96" s="1" t="s">
        <v>30</v>
      </c>
      <c r="G96" s="1" t="s">
        <v>24</v>
      </c>
      <c r="H96" s="1">
        <v>2.0</v>
      </c>
    </row>
    <row r="97">
      <c r="A97" s="1">
        <v>40.17</v>
      </c>
      <c r="B97" s="1">
        <v>4.73</v>
      </c>
      <c r="C97" s="1">
        <f t="shared" si="1"/>
        <v>0.1177495644</v>
      </c>
      <c r="D97" s="1" t="s">
        <v>25</v>
      </c>
      <c r="E97" s="1" t="s">
        <v>27</v>
      </c>
      <c r="F97" s="1" t="s">
        <v>30</v>
      </c>
      <c r="G97" s="1" t="s">
        <v>24</v>
      </c>
      <c r="H97" s="1">
        <v>4.0</v>
      </c>
    </row>
    <row r="98">
      <c r="A98" s="1">
        <v>27.28</v>
      </c>
      <c r="B98" s="1">
        <v>4.0</v>
      </c>
      <c r="C98" s="1">
        <f t="shared" si="1"/>
        <v>0.146627566</v>
      </c>
      <c r="D98" s="1" t="s">
        <v>25</v>
      </c>
      <c r="E98" s="1" t="s">
        <v>27</v>
      </c>
      <c r="F98" s="1" t="s">
        <v>30</v>
      </c>
      <c r="G98" s="1" t="s">
        <v>24</v>
      </c>
      <c r="H98" s="1">
        <v>2.0</v>
      </c>
    </row>
    <row r="99">
      <c r="A99" s="1">
        <v>12.03</v>
      </c>
      <c r="B99" s="1">
        <v>1.5</v>
      </c>
      <c r="C99" s="1">
        <f t="shared" si="1"/>
        <v>0.1246882793</v>
      </c>
      <c r="D99" s="1" t="s">
        <v>25</v>
      </c>
      <c r="E99" s="1" t="s">
        <v>27</v>
      </c>
      <c r="F99" s="1" t="s">
        <v>30</v>
      </c>
      <c r="G99" s="1" t="s">
        <v>24</v>
      </c>
      <c r="H99" s="1">
        <v>2.0</v>
      </c>
    </row>
    <row r="100">
      <c r="A100" s="1">
        <v>21.01</v>
      </c>
      <c r="B100" s="1">
        <v>3.0</v>
      </c>
      <c r="C100" s="1">
        <f t="shared" si="1"/>
        <v>0.142789148</v>
      </c>
      <c r="D100" s="1" t="s">
        <v>25</v>
      </c>
      <c r="E100" s="1" t="s">
        <v>27</v>
      </c>
      <c r="F100" s="1" t="s">
        <v>30</v>
      </c>
      <c r="G100" s="1" t="s">
        <v>24</v>
      </c>
      <c r="H100" s="1">
        <v>2.0</v>
      </c>
    </row>
    <row r="101">
      <c r="A101" s="1">
        <v>12.46</v>
      </c>
      <c r="B101" s="1">
        <v>1.5</v>
      </c>
      <c r="C101" s="1">
        <f t="shared" si="1"/>
        <v>0.1203852327</v>
      </c>
      <c r="D101" s="1" t="s">
        <v>25</v>
      </c>
      <c r="E101" s="1" t="s">
        <v>22</v>
      </c>
      <c r="F101" s="1" t="s">
        <v>30</v>
      </c>
      <c r="G101" s="1" t="s">
        <v>24</v>
      </c>
      <c r="H101" s="1">
        <v>2.0</v>
      </c>
    </row>
    <row r="102">
      <c r="A102" s="1">
        <v>11.35</v>
      </c>
      <c r="B102" s="1">
        <v>2.5</v>
      </c>
      <c r="C102" s="1">
        <f t="shared" si="1"/>
        <v>0.2202643172</v>
      </c>
      <c r="D102" s="1" t="s">
        <v>21</v>
      </c>
      <c r="E102" s="1" t="s">
        <v>27</v>
      </c>
      <c r="F102" s="1" t="s">
        <v>30</v>
      </c>
      <c r="G102" s="1" t="s">
        <v>24</v>
      </c>
      <c r="H102" s="1">
        <v>2.0</v>
      </c>
    </row>
    <row r="103">
      <c r="A103" s="1">
        <v>15.38</v>
      </c>
      <c r="B103" s="1">
        <v>3.0</v>
      </c>
      <c r="C103" s="1">
        <f t="shared" si="1"/>
        <v>0.1950585176</v>
      </c>
      <c r="D103" s="1" t="s">
        <v>21</v>
      </c>
      <c r="E103" s="1" t="s">
        <v>27</v>
      </c>
      <c r="F103" s="1" t="s">
        <v>30</v>
      </c>
      <c r="G103" s="1" t="s">
        <v>24</v>
      </c>
      <c r="H103" s="1">
        <v>2.0</v>
      </c>
    </row>
    <row r="104">
      <c r="A104" s="1">
        <v>44.3</v>
      </c>
      <c r="B104" s="1">
        <v>2.5</v>
      </c>
      <c r="C104" s="1">
        <f t="shared" si="1"/>
        <v>0.05643340858</v>
      </c>
      <c r="D104" s="1" t="s">
        <v>21</v>
      </c>
      <c r="E104" s="1" t="s">
        <v>27</v>
      </c>
      <c r="F104" s="1" t="s">
        <v>26</v>
      </c>
      <c r="G104" s="1" t="s">
        <v>24</v>
      </c>
      <c r="H104" s="1">
        <v>3.0</v>
      </c>
    </row>
    <row r="105">
      <c r="A105" s="1">
        <v>22.42</v>
      </c>
      <c r="B105" s="1">
        <v>3.48</v>
      </c>
      <c r="C105" s="1">
        <f t="shared" si="1"/>
        <v>0.1552185549</v>
      </c>
      <c r="D105" s="1" t="s">
        <v>21</v>
      </c>
      <c r="E105" s="1" t="s">
        <v>27</v>
      </c>
      <c r="F105" s="1" t="s">
        <v>26</v>
      </c>
      <c r="G105" s="1" t="s">
        <v>24</v>
      </c>
      <c r="H105" s="1">
        <v>2.0</v>
      </c>
    </row>
    <row r="106">
      <c r="A106" s="1">
        <v>20.92</v>
      </c>
      <c r="B106" s="1">
        <v>4.08</v>
      </c>
      <c r="C106" s="1">
        <f t="shared" si="1"/>
        <v>0.1950286807</v>
      </c>
      <c r="D106" s="1" t="s">
        <v>21</v>
      </c>
      <c r="E106" s="1" t="s">
        <v>22</v>
      </c>
      <c r="F106" s="1" t="s">
        <v>26</v>
      </c>
      <c r="G106" s="1" t="s">
        <v>24</v>
      </c>
      <c r="H106" s="1">
        <v>2.0</v>
      </c>
    </row>
    <row r="107">
      <c r="A107" s="1">
        <v>15.36</v>
      </c>
      <c r="B107" s="1">
        <v>1.64</v>
      </c>
      <c r="C107" s="1">
        <f t="shared" si="1"/>
        <v>0.1067708333</v>
      </c>
      <c r="D107" s="1" t="s">
        <v>25</v>
      </c>
      <c r="E107" s="1" t="s">
        <v>27</v>
      </c>
      <c r="F107" s="1" t="s">
        <v>26</v>
      </c>
      <c r="G107" s="1" t="s">
        <v>24</v>
      </c>
      <c r="H107" s="1">
        <v>2.0</v>
      </c>
    </row>
    <row r="108">
      <c r="A108" s="1">
        <v>20.49</v>
      </c>
      <c r="B108" s="1">
        <v>4.06</v>
      </c>
      <c r="C108" s="1">
        <f t="shared" si="1"/>
        <v>0.1981454368</v>
      </c>
      <c r="D108" s="1" t="s">
        <v>25</v>
      </c>
      <c r="E108" s="1" t="s">
        <v>27</v>
      </c>
      <c r="F108" s="1" t="s">
        <v>26</v>
      </c>
      <c r="G108" s="1" t="s">
        <v>24</v>
      </c>
      <c r="H108" s="1">
        <v>2.0</v>
      </c>
    </row>
    <row r="109">
      <c r="A109" s="1">
        <v>25.21</v>
      </c>
      <c r="B109" s="1">
        <v>4.29</v>
      </c>
      <c r="C109" s="1">
        <f t="shared" si="1"/>
        <v>0.1701705672</v>
      </c>
      <c r="D109" s="1" t="s">
        <v>25</v>
      </c>
      <c r="E109" s="1" t="s">
        <v>27</v>
      </c>
      <c r="F109" s="1" t="s">
        <v>26</v>
      </c>
      <c r="G109" s="1" t="s">
        <v>24</v>
      </c>
      <c r="H109" s="1">
        <v>2.0</v>
      </c>
    </row>
    <row r="110">
      <c r="A110" s="1">
        <v>18.24</v>
      </c>
      <c r="B110" s="1">
        <v>3.76</v>
      </c>
      <c r="C110" s="1">
        <f t="shared" si="1"/>
        <v>0.2061403509</v>
      </c>
      <c r="D110" s="1" t="s">
        <v>25</v>
      </c>
      <c r="E110" s="1" t="s">
        <v>22</v>
      </c>
      <c r="F110" s="1" t="s">
        <v>26</v>
      </c>
      <c r="G110" s="1" t="s">
        <v>24</v>
      </c>
      <c r="H110" s="1">
        <v>2.0</v>
      </c>
    </row>
    <row r="111">
      <c r="A111" s="1">
        <v>14.31</v>
      </c>
      <c r="B111" s="1">
        <v>4.0</v>
      </c>
      <c r="C111" s="1">
        <f t="shared" si="1"/>
        <v>0.2795248078</v>
      </c>
      <c r="D111" s="1" t="s">
        <v>21</v>
      </c>
      <c r="E111" s="1" t="s">
        <v>27</v>
      </c>
      <c r="F111" s="1" t="s">
        <v>26</v>
      </c>
      <c r="G111" s="1" t="s">
        <v>24</v>
      </c>
      <c r="H111" s="1">
        <v>2.0</v>
      </c>
    </row>
    <row r="112">
      <c r="A112" s="1">
        <v>14.0</v>
      </c>
      <c r="B112" s="1">
        <v>3.0</v>
      </c>
      <c r="C112" s="1">
        <f t="shared" si="1"/>
        <v>0.2142857143</v>
      </c>
      <c r="D112" s="1" t="s">
        <v>25</v>
      </c>
      <c r="E112" s="1" t="s">
        <v>22</v>
      </c>
      <c r="F112" s="1" t="s">
        <v>26</v>
      </c>
      <c r="G112" s="1" t="s">
        <v>24</v>
      </c>
      <c r="H112" s="1">
        <v>2.0</v>
      </c>
    </row>
    <row r="113">
      <c r="A113" s="1">
        <v>7.25</v>
      </c>
      <c r="B113" s="1">
        <v>1.0</v>
      </c>
      <c r="C113" s="1">
        <f t="shared" si="1"/>
        <v>0.1379310345</v>
      </c>
      <c r="D113" s="1" t="s">
        <v>21</v>
      </c>
      <c r="E113" s="1" t="s">
        <v>22</v>
      </c>
      <c r="F113" s="1" t="s">
        <v>26</v>
      </c>
      <c r="G113" s="1" t="s">
        <v>24</v>
      </c>
      <c r="H113" s="1">
        <v>1.0</v>
      </c>
    </row>
    <row r="114">
      <c r="A114" s="1">
        <v>38.07</v>
      </c>
      <c r="B114" s="1">
        <v>4.0</v>
      </c>
      <c r="C114" s="1">
        <f t="shared" si="1"/>
        <v>0.1050696086</v>
      </c>
      <c r="D114" s="1" t="s">
        <v>25</v>
      </c>
      <c r="E114" s="1" t="s">
        <v>22</v>
      </c>
      <c r="F114" s="1" t="s">
        <v>23</v>
      </c>
      <c r="G114" s="1" t="s">
        <v>24</v>
      </c>
      <c r="H114" s="1">
        <v>3.0</v>
      </c>
    </row>
    <row r="115">
      <c r="A115" s="1">
        <v>23.95</v>
      </c>
      <c r="B115" s="1">
        <v>2.55</v>
      </c>
      <c r="C115" s="1">
        <f t="shared" si="1"/>
        <v>0.1064718163</v>
      </c>
      <c r="D115" s="1" t="s">
        <v>25</v>
      </c>
      <c r="E115" s="1" t="s">
        <v>22</v>
      </c>
      <c r="F115" s="1" t="s">
        <v>23</v>
      </c>
      <c r="G115" s="1" t="s">
        <v>24</v>
      </c>
      <c r="H115" s="1">
        <v>2.0</v>
      </c>
    </row>
    <row r="116">
      <c r="A116" s="1">
        <v>25.71</v>
      </c>
      <c r="B116" s="1">
        <v>4.0</v>
      </c>
      <c r="C116" s="1">
        <f t="shared" si="1"/>
        <v>0.1555814858</v>
      </c>
      <c r="D116" s="1" t="s">
        <v>21</v>
      </c>
      <c r="E116" s="1" t="s">
        <v>22</v>
      </c>
      <c r="F116" s="1" t="s">
        <v>23</v>
      </c>
      <c r="G116" s="1" t="s">
        <v>24</v>
      </c>
      <c r="H116" s="1">
        <v>3.0</v>
      </c>
    </row>
    <row r="117">
      <c r="A117" s="1">
        <v>17.31</v>
      </c>
      <c r="B117" s="1">
        <v>3.5</v>
      </c>
      <c r="C117" s="1">
        <f t="shared" si="1"/>
        <v>0.2021952629</v>
      </c>
      <c r="D117" s="1" t="s">
        <v>21</v>
      </c>
      <c r="E117" s="1" t="s">
        <v>22</v>
      </c>
      <c r="F117" s="1" t="s">
        <v>23</v>
      </c>
      <c r="G117" s="1" t="s">
        <v>24</v>
      </c>
      <c r="H117" s="1">
        <v>2.0</v>
      </c>
    </row>
    <row r="118">
      <c r="A118" s="1">
        <v>29.93</v>
      </c>
      <c r="B118" s="1">
        <v>5.07</v>
      </c>
      <c r="C118" s="1">
        <f t="shared" si="1"/>
        <v>0.1693952556</v>
      </c>
      <c r="D118" s="1" t="s">
        <v>25</v>
      </c>
      <c r="E118" s="1" t="s">
        <v>22</v>
      </c>
      <c r="F118" s="1" t="s">
        <v>23</v>
      </c>
      <c r="G118" s="1" t="s">
        <v>24</v>
      </c>
      <c r="H118" s="1">
        <v>4.0</v>
      </c>
    </row>
    <row r="119">
      <c r="A119" s="1">
        <v>10.65</v>
      </c>
      <c r="B119" s="1">
        <v>1.5</v>
      </c>
      <c r="C119" s="1">
        <f t="shared" si="1"/>
        <v>0.1408450704</v>
      </c>
      <c r="D119" s="1" t="s">
        <v>21</v>
      </c>
      <c r="E119" s="1" t="s">
        <v>22</v>
      </c>
      <c r="F119" s="1" t="s">
        <v>28</v>
      </c>
      <c r="G119" s="1" t="s">
        <v>29</v>
      </c>
      <c r="H119" s="1">
        <v>2.0</v>
      </c>
    </row>
    <row r="120">
      <c r="A120" s="1">
        <v>12.43</v>
      </c>
      <c r="B120" s="1">
        <v>1.8</v>
      </c>
      <c r="C120" s="1">
        <f t="shared" si="1"/>
        <v>0.1448109413</v>
      </c>
      <c r="D120" s="1" t="s">
        <v>21</v>
      </c>
      <c r="E120" s="1" t="s">
        <v>22</v>
      </c>
      <c r="F120" s="1" t="s">
        <v>28</v>
      </c>
      <c r="G120" s="1" t="s">
        <v>29</v>
      </c>
      <c r="H120" s="1">
        <v>2.0</v>
      </c>
    </row>
    <row r="121">
      <c r="A121" s="1">
        <v>24.08</v>
      </c>
      <c r="B121" s="1">
        <v>2.92</v>
      </c>
      <c r="C121" s="1">
        <f t="shared" si="1"/>
        <v>0.1212624585</v>
      </c>
      <c r="D121" s="1" t="s">
        <v>21</v>
      </c>
      <c r="E121" s="1" t="s">
        <v>22</v>
      </c>
      <c r="F121" s="1" t="s">
        <v>28</v>
      </c>
      <c r="G121" s="1" t="s">
        <v>29</v>
      </c>
      <c r="H121" s="1">
        <v>4.0</v>
      </c>
    </row>
    <row r="122">
      <c r="A122" s="1">
        <v>11.69</v>
      </c>
      <c r="B122" s="1">
        <v>2.31</v>
      </c>
      <c r="C122" s="1">
        <f t="shared" si="1"/>
        <v>0.1976047904</v>
      </c>
      <c r="D122" s="1" t="s">
        <v>25</v>
      </c>
      <c r="E122" s="1" t="s">
        <v>22</v>
      </c>
      <c r="F122" s="1" t="s">
        <v>28</v>
      </c>
      <c r="G122" s="1" t="s">
        <v>29</v>
      </c>
      <c r="H122" s="1">
        <v>2.0</v>
      </c>
    </row>
    <row r="123">
      <c r="A123" s="1">
        <v>13.42</v>
      </c>
      <c r="B123" s="1">
        <v>1.68</v>
      </c>
      <c r="C123" s="1">
        <f t="shared" si="1"/>
        <v>0.1251862891</v>
      </c>
      <c r="D123" s="1" t="s">
        <v>21</v>
      </c>
      <c r="E123" s="1" t="s">
        <v>22</v>
      </c>
      <c r="F123" s="1" t="s">
        <v>28</v>
      </c>
      <c r="G123" s="1" t="s">
        <v>29</v>
      </c>
      <c r="H123" s="1">
        <v>2.0</v>
      </c>
    </row>
    <row r="124">
      <c r="A124" s="1">
        <v>14.26</v>
      </c>
      <c r="B124" s="1">
        <v>2.5</v>
      </c>
      <c r="C124" s="1">
        <f t="shared" si="1"/>
        <v>0.175315568</v>
      </c>
      <c r="D124" s="1" t="s">
        <v>25</v>
      </c>
      <c r="E124" s="1" t="s">
        <v>22</v>
      </c>
      <c r="F124" s="1" t="s">
        <v>28</v>
      </c>
      <c r="G124" s="1" t="s">
        <v>29</v>
      </c>
      <c r="H124" s="1">
        <v>2.0</v>
      </c>
    </row>
    <row r="125">
      <c r="A125" s="1">
        <v>15.95</v>
      </c>
      <c r="B125" s="1">
        <v>2.0</v>
      </c>
      <c r="C125" s="1">
        <f t="shared" si="1"/>
        <v>0.1253918495</v>
      </c>
      <c r="D125" s="1" t="s">
        <v>25</v>
      </c>
      <c r="E125" s="1" t="s">
        <v>22</v>
      </c>
      <c r="F125" s="1" t="s">
        <v>28</v>
      </c>
      <c r="G125" s="1" t="s">
        <v>29</v>
      </c>
      <c r="H125" s="1">
        <v>2.0</v>
      </c>
    </row>
    <row r="126">
      <c r="A126" s="1">
        <v>12.48</v>
      </c>
      <c r="B126" s="1">
        <v>2.52</v>
      </c>
      <c r="C126" s="1">
        <f t="shared" si="1"/>
        <v>0.2019230769</v>
      </c>
      <c r="D126" s="1" t="s">
        <v>21</v>
      </c>
      <c r="E126" s="1" t="s">
        <v>22</v>
      </c>
      <c r="F126" s="1" t="s">
        <v>28</v>
      </c>
      <c r="G126" s="1" t="s">
        <v>29</v>
      </c>
      <c r="H126" s="1">
        <v>2.0</v>
      </c>
    </row>
    <row r="127">
      <c r="A127" s="1">
        <v>29.8</v>
      </c>
      <c r="B127" s="1">
        <v>4.2</v>
      </c>
      <c r="C127" s="1">
        <f t="shared" si="1"/>
        <v>0.1409395973</v>
      </c>
      <c r="D127" s="1" t="s">
        <v>21</v>
      </c>
      <c r="E127" s="1" t="s">
        <v>22</v>
      </c>
      <c r="F127" s="1" t="s">
        <v>28</v>
      </c>
      <c r="G127" s="1" t="s">
        <v>29</v>
      </c>
      <c r="H127" s="1">
        <v>6.0</v>
      </c>
    </row>
    <row r="128">
      <c r="A128" s="1">
        <v>8.52</v>
      </c>
      <c r="B128" s="1">
        <v>1.48</v>
      </c>
      <c r="C128" s="1">
        <f t="shared" si="1"/>
        <v>0.1737089202</v>
      </c>
      <c r="D128" s="1" t="s">
        <v>25</v>
      </c>
      <c r="E128" s="1" t="s">
        <v>22</v>
      </c>
      <c r="F128" s="1" t="s">
        <v>28</v>
      </c>
      <c r="G128" s="1" t="s">
        <v>29</v>
      </c>
      <c r="H128" s="1">
        <v>2.0</v>
      </c>
    </row>
    <row r="129">
      <c r="A129" s="1">
        <v>14.52</v>
      </c>
      <c r="B129" s="1">
        <v>2.0</v>
      </c>
      <c r="C129" s="1">
        <f t="shared" si="1"/>
        <v>0.1377410468</v>
      </c>
      <c r="D129" s="1" t="s">
        <v>21</v>
      </c>
      <c r="E129" s="1" t="s">
        <v>22</v>
      </c>
      <c r="F129" s="1" t="s">
        <v>28</v>
      </c>
      <c r="G129" s="1" t="s">
        <v>29</v>
      </c>
      <c r="H129" s="1">
        <v>2.0</v>
      </c>
    </row>
    <row r="130">
      <c r="A130" s="1">
        <v>11.38</v>
      </c>
      <c r="B130" s="1">
        <v>2.0</v>
      </c>
      <c r="C130" s="1">
        <f t="shared" si="1"/>
        <v>0.1757469244</v>
      </c>
      <c r="D130" s="1" t="s">
        <v>21</v>
      </c>
      <c r="E130" s="1" t="s">
        <v>22</v>
      </c>
      <c r="F130" s="1" t="s">
        <v>28</v>
      </c>
      <c r="G130" s="1" t="s">
        <v>29</v>
      </c>
      <c r="H130" s="1">
        <v>2.0</v>
      </c>
    </row>
    <row r="131">
      <c r="A131" s="1">
        <v>22.82</v>
      </c>
      <c r="B131" s="1">
        <v>2.18</v>
      </c>
      <c r="C131" s="1">
        <f t="shared" si="1"/>
        <v>0.09553023663</v>
      </c>
      <c r="D131" s="1" t="s">
        <v>25</v>
      </c>
      <c r="E131" s="1" t="s">
        <v>22</v>
      </c>
      <c r="F131" s="1" t="s">
        <v>28</v>
      </c>
      <c r="G131" s="1" t="s">
        <v>29</v>
      </c>
      <c r="H131" s="1">
        <v>3.0</v>
      </c>
    </row>
    <row r="132">
      <c r="A132" s="1">
        <v>19.08</v>
      </c>
      <c r="B132" s="1">
        <v>1.5</v>
      </c>
      <c r="C132" s="1">
        <f t="shared" si="1"/>
        <v>0.0786163522</v>
      </c>
      <c r="D132" s="1" t="s">
        <v>25</v>
      </c>
      <c r="E132" s="1" t="s">
        <v>22</v>
      </c>
      <c r="F132" s="1" t="s">
        <v>28</v>
      </c>
      <c r="G132" s="1" t="s">
        <v>29</v>
      </c>
      <c r="H132" s="1">
        <v>2.0</v>
      </c>
    </row>
    <row r="133">
      <c r="A133" s="1">
        <v>20.27</v>
      </c>
      <c r="B133" s="1">
        <v>2.83</v>
      </c>
      <c r="C133" s="1">
        <f t="shared" si="1"/>
        <v>0.1396151949</v>
      </c>
      <c r="D133" s="1" t="s">
        <v>21</v>
      </c>
      <c r="E133" s="1" t="s">
        <v>22</v>
      </c>
      <c r="F133" s="1" t="s">
        <v>28</v>
      </c>
      <c r="G133" s="1" t="s">
        <v>29</v>
      </c>
      <c r="H133" s="1">
        <v>2.0</v>
      </c>
    </row>
    <row r="134">
      <c r="A134" s="1">
        <v>11.17</v>
      </c>
      <c r="B134" s="1">
        <v>1.5</v>
      </c>
      <c r="C134" s="1">
        <f t="shared" si="1"/>
        <v>0.1342882722</v>
      </c>
      <c r="D134" s="1" t="s">
        <v>21</v>
      </c>
      <c r="E134" s="1" t="s">
        <v>22</v>
      </c>
      <c r="F134" s="1" t="s">
        <v>28</v>
      </c>
      <c r="G134" s="1" t="s">
        <v>29</v>
      </c>
      <c r="H134" s="1">
        <v>2.0</v>
      </c>
    </row>
    <row r="135">
      <c r="A135" s="1">
        <v>12.26</v>
      </c>
      <c r="B135" s="1">
        <v>2.0</v>
      </c>
      <c r="C135" s="1">
        <f t="shared" si="1"/>
        <v>0.163132137</v>
      </c>
      <c r="D135" s="1" t="s">
        <v>21</v>
      </c>
      <c r="E135" s="1" t="s">
        <v>22</v>
      </c>
      <c r="F135" s="1" t="s">
        <v>28</v>
      </c>
      <c r="G135" s="1" t="s">
        <v>29</v>
      </c>
      <c r="H135" s="1">
        <v>2.0</v>
      </c>
    </row>
    <row r="136">
      <c r="A136" s="1">
        <v>18.26</v>
      </c>
      <c r="B136" s="1">
        <v>3.25</v>
      </c>
      <c r="C136" s="1">
        <f t="shared" si="1"/>
        <v>0.1779846659</v>
      </c>
      <c r="D136" s="1" t="s">
        <v>21</v>
      </c>
      <c r="E136" s="1" t="s">
        <v>22</v>
      </c>
      <c r="F136" s="1" t="s">
        <v>28</v>
      </c>
      <c r="G136" s="1" t="s">
        <v>29</v>
      </c>
      <c r="H136" s="1">
        <v>2.0</v>
      </c>
    </row>
    <row r="137">
      <c r="A137" s="1">
        <v>8.51</v>
      </c>
      <c r="B137" s="1">
        <v>1.25</v>
      </c>
      <c r="C137" s="1">
        <f t="shared" si="1"/>
        <v>0.1468860165</v>
      </c>
      <c r="D137" s="1" t="s">
        <v>21</v>
      </c>
      <c r="E137" s="1" t="s">
        <v>22</v>
      </c>
      <c r="F137" s="1" t="s">
        <v>28</v>
      </c>
      <c r="G137" s="1" t="s">
        <v>29</v>
      </c>
      <c r="H137" s="1">
        <v>2.0</v>
      </c>
    </row>
    <row r="138">
      <c r="A138" s="1">
        <v>10.33</v>
      </c>
      <c r="B138" s="1">
        <v>2.0</v>
      </c>
      <c r="C138" s="1">
        <f t="shared" si="1"/>
        <v>0.1936108422</v>
      </c>
      <c r="D138" s="1" t="s">
        <v>21</v>
      </c>
      <c r="E138" s="1" t="s">
        <v>22</v>
      </c>
      <c r="F138" s="1" t="s">
        <v>28</v>
      </c>
      <c r="G138" s="1" t="s">
        <v>29</v>
      </c>
      <c r="H138" s="1">
        <v>2.0</v>
      </c>
    </row>
    <row r="139">
      <c r="A139" s="1">
        <v>14.15</v>
      </c>
      <c r="B139" s="1">
        <v>2.0</v>
      </c>
      <c r="C139" s="1">
        <f t="shared" si="1"/>
        <v>0.1413427562</v>
      </c>
      <c r="D139" s="1" t="s">
        <v>21</v>
      </c>
      <c r="E139" s="1" t="s">
        <v>22</v>
      </c>
      <c r="F139" s="1" t="s">
        <v>28</v>
      </c>
      <c r="G139" s="1" t="s">
        <v>29</v>
      </c>
      <c r="H139" s="1">
        <v>2.0</v>
      </c>
    </row>
    <row r="140">
      <c r="A140" s="1">
        <v>16.0</v>
      </c>
      <c r="B140" s="1">
        <v>2.0</v>
      </c>
      <c r="C140" s="1">
        <f t="shared" si="1"/>
        <v>0.125</v>
      </c>
      <c r="D140" s="1" t="s">
        <v>25</v>
      </c>
      <c r="E140" s="1" t="s">
        <v>27</v>
      </c>
      <c r="F140" s="1" t="s">
        <v>28</v>
      </c>
      <c r="G140" s="1" t="s">
        <v>29</v>
      </c>
      <c r="H140" s="1">
        <v>2.0</v>
      </c>
    </row>
    <row r="141">
      <c r="A141" s="1">
        <v>13.16</v>
      </c>
      <c r="B141" s="1">
        <v>2.75</v>
      </c>
      <c r="C141" s="1">
        <f t="shared" si="1"/>
        <v>0.2089665653</v>
      </c>
      <c r="D141" s="1" t="s">
        <v>21</v>
      </c>
      <c r="E141" s="1" t="s">
        <v>22</v>
      </c>
      <c r="F141" s="1" t="s">
        <v>28</v>
      </c>
      <c r="G141" s="1" t="s">
        <v>29</v>
      </c>
      <c r="H141" s="1">
        <v>2.0</v>
      </c>
    </row>
    <row r="142">
      <c r="A142" s="1">
        <v>17.47</v>
      </c>
      <c r="B142" s="1">
        <v>3.5</v>
      </c>
      <c r="C142" s="1">
        <f t="shared" si="1"/>
        <v>0.2003434459</v>
      </c>
      <c r="D142" s="1" t="s">
        <v>21</v>
      </c>
      <c r="E142" s="1" t="s">
        <v>22</v>
      </c>
      <c r="F142" s="1" t="s">
        <v>28</v>
      </c>
      <c r="G142" s="1" t="s">
        <v>29</v>
      </c>
      <c r="H142" s="1">
        <v>2.0</v>
      </c>
    </row>
    <row r="143">
      <c r="A143" s="1">
        <v>34.3</v>
      </c>
      <c r="B143" s="1">
        <v>6.7</v>
      </c>
      <c r="C143" s="1">
        <f t="shared" si="1"/>
        <v>0.195335277</v>
      </c>
      <c r="D143" s="1" t="s">
        <v>25</v>
      </c>
      <c r="E143" s="1" t="s">
        <v>22</v>
      </c>
      <c r="F143" s="1" t="s">
        <v>28</v>
      </c>
      <c r="G143" s="1" t="s">
        <v>29</v>
      </c>
      <c r="H143" s="1">
        <v>6.0</v>
      </c>
    </row>
    <row r="144">
      <c r="A144" s="1">
        <v>41.19</v>
      </c>
      <c r="B144" s="1">
        <v>5.0</v>
      </c>
      <c r="C144" s="1">
        <f t="shared" si="1"/>
        <v>0.1213886866</v>
      </c>
      <c r="D144" s="1" t="s">
        <v>25</v>
      </c>
      <c r="E144" s="1" t="s">
        <v>22</v>
      </c>
      <c r="F144" s="1" t="s">
        <v>28</v>
      </c>
      <c r="G144" s="1" t="s">
        <v>29</v>
      </c>
      <c r="H144" s="1">
        <v>5.0</v>
      </c>
    </row>
    <row r="145">
      <c r="A145" s="1">
        <v>27.05</v>
      </c>
      <c r="B145" s="1">
        <v>5.0</v>
      </c>
      <c r="C145" s="1">
        <f t="shared" si="1"/>
        <v>0.1848428835</v>
      </c>
      <c r="D145" s="1" t="s">
        <v>21</v>
      </c>
      <c r="E145" s="1" t="s">
        <v>22</v>
      </c>
      <c r="F145" s="1" t="s">
        <v>28</v>
      </c>
      <c r="G145" s="1" t="s">
        <v>29</v>
      </c>
      <c r="H145" s="1">
        <v>6.0</v>
      </c>
    </row>
    <row r="146">
      <c r="A146" s="1">
        <v>16.43</v>
      </c>
      <c r="B146" s="1">
        <v>2.3</v>
      </c>
      <c r="C146" s="1">
        <f t="shared" si="1"/>
        <v>0.1399878271</v>
      </c>
      <c r="D146" s="1" t="s">
        <v>21</v>
      </c>
      <c r="E146" s="1" t="s">
        <v>22</v>
      </c>
      <c r="F146" s="1" t="s">
        <v>28</v>
      </c>
      <c r="G146" s="1" t="s">
        <v>29</v>
      </c>
      <c r="H146" s="1">
        <v>2.0</v>
      </c>
    </row>
    <row r="147">
      <c r="A147" s="1">
        <v>8.35</v>
      </c>
      <c r="B147" s="1">
        <v>1.5</v>
      </c>
      <c r="C147" s="1">
        <f t="shared" si="1"/>
        <v>0.1796407186</v>
      </c>
      <c r="D147" s="1" t="s">
        <v>21</v>
      </c>
      <c r="E147" s="1" t="s">
        <v>22</v>
      </c>
      <c r="F147" s="1" t="s">
        <v>28</v>
      </c>
      <c r="G147" s="1" t="s">
        <v>29</v>
      </c>
      <c r="H147" s="1">
        <v>2.0</v>
      </c>
    </row>
    <row r="148">
      <c r="A148" s="1">
        <v>18.64</v>
      </c>
      <c r="B148" s="1">
        <v>1.36</v>
      </c>
      <c r="C148" s="1">
        <f t="shared" si="1"/>
        <v>0.07296137339</v>
      </c>
      <c r="D148" s="1" t="s">
        <v>21</v>
      </c>
      <c r="E148" s="1" t="s">
        <v>22</v>
      </c>
      <c r="F148" s="1" t="s">
        <v>28</v>
      </c>
      <c r="G148" s="1" t="s">
        <v>29</v>
      </c>
      <c r="H148" s="1">
        <v>3.0</v>
      </c>
    </row>
    <row r="149">
      <c r="A149" s="1">
        <v>11.87</v>
      </c>
      <c r="B149" s="1">
        <v>1.63</v>
      </c>
      <c r="C149" s="1">
        <f t="shared" si="1"/>
        <v>0.1373209773</v>
      </c>
      <c r="D149" s="1" t="s">
        <v>21</v>
      </c>
      <c r="E149" s="1" t="s">
        <v>22</v>
      </c>
      <c r="F149" s="1" t="s">
        <v>28</v>
      </c>
      <c r="G149" s="1" t="s">
        <v>29</v>
      </c>
      <c r="H149" s="1">
        <v>2.0</v>
      </c>
    </row>
    <row r="150">
      <c r="A150" s="1">
        <v>9.78</v>
      </c>
      <c r="B150" s="1">
        <v>1.73</v>
      </c>
      <c r="C150" s="1">
        <f t="shared" si="1"/>
        <v>0.1768916155</v>
      </c>
      <c r="D150" s="1" t="s">
        <v>25</v>
      </c>
      <c r="E150" s="1" t="s">
        <v>22</v>
      </c>
      <c r="F150" s="1" t="s">
        <v>28</v>
      </c>
      <c r="G150" s="1" t="s">
        <v>29</v>
      </c>
      <c r="H150" s="1">
        <v>2.0</v>
      </c>
    </row>
    <row r="151">
      <c r="A151" s="1">
        <v>7.51</v>
      </c>
      <c r="B151" s="1">
        <v>2.0</v>
      </c>
      <c r="C151" s="1">
        <f t="shared" si="1"/>
        <v>0.2663115846</v>
      </c>
      <c r="D151" s="1" t="s">
        <v>25</v>
      </c>
      <c r="E151" s="1" t="s">
        <v>22</v>
      </c>
      <c r="F151" s="1" t="s">
        <v>28</v>
      </c>
      <c r="G151" s="1" t="s">
        <v>29</v>
      </c>
      <c r="H151" s="1">
        <v>2.0</v>
      </c>
    </row>
    <row r="152">
      <c r="A152" s="1">
        <v>14.07</v>
      </c>
      <c r="B152" s="1">
        <v>2.5</v>
      </c>
      <c r="C152" s="1">
        <f t="shared" si="1"/>
        <v>0.1776830135</v>
      </c>
      <c r="D152" s="1" t="s">
        <v>25</v>
      </c>
      <c r="E152" s="1" t="s">
        <v>22</v>
      </c>
      <c r="F152" s="1" t="s">
        <v>23</v>
      </c>
      <c r="G152" s="1" t="s">
        <v>24</v>
      </c>
      <c r="H152" s="1">
        <v>2.0</v>
      </c>
    </row>
    <row r="153">
      <c r="A153" s="1">
        <v>13.13</v>
      </c>
      <c r="B153" s="1">
        <v>2.0</v>
      </c>
      <c r="C153" s="1">
        <f t="shared" si="1"/>
        <v>0.1523229246</v>
      </c>
      <c r="D153" s="1" t="s">
        <v>25</v>
      </c>
      <c r="E153" s="1" t="s">
        <v>22</v>
      </c>
      <c r="F153" s="1" t="s">
        <v>23</v>
      </c>
      <c r="G153" s="1" t="s">
        <v>24</v>
      </c>
      <c r="H153" s="1">
        <v>2.0</v>
      </c>
    </row>
    <row r="154">
      <c r="A154" s="1">
        <v>17.26</v>
      </c>
      <c r="B154" s="1">
        <v>2.74</v>
      </c>
      <c r="C154" s="1">
        <f t="shared" si="1"/>
        <v>0.1587485516</v>
      </c>
      <c r="D154" s="1" t="s">
        <v>25</v>
      </c>
      <c r="E154" s="1" t="s">
        <v>22</v>
      </c>
      <c r="F154" s="1" t="s">
        <v>23</v>
      </c>
      <c r="G154" s="1" t="s">
        <v>24</v>
      </c>
      <c r="H154" s="1">
        <v>3.0</v>
      </c>
    </row>
    <row r="155">
      <c r="A155" s="1">
        <v>24.55</v>
      </c>
      <c r="B155" s="1">
        <v>2.0</v>
      </c>
      <c r="C155" s="1">
        <f t="shared" si="1"/>
        <v>0.08146639511</v>
      </c>
      <c r="D155" s="1" t="s">
        <v>25</v>
      </c>
      <c r="E155" s="1" t="s">
        <v>22</v>
      </c>
      <c r="F155" s="1" t="s">
        <v>23</v>
      </c>
      <c r="G155" s="1" t="s">
        <v>24</v>
      </c>
      <c r="H155" s="1">
        <v>4.0</v>
      </c>
    </row>
    <row r="156">
      <c r="A156" s="1">
        <v>19.77</v>
      </c>
      <c r="B156" s="1">
        <v>2.0</v>
      </c>
      <c r="C156" s="1">
        <f t="shared" si="1"/>
        <v>0.1011633789</v>
      </c>
      <c r="D156" s="1" t="s">
        <v>25</v>
      </c>
      <c r="E156" s="1" t="s">
        <v>22</v>
      </c>
      <c r="F156" s="1" t="s">
        <v>23</v>
      </c>
      <c r="G156" s="1" t="s">
        <v>24</v>
      </c>
      <c r="H156" s="1">
        <v>4.0</v>
      </c>
    </row>
    <row r="157">
      <c r="A157" s="1">
        <v>29.85</v>
      </c>
      <c r="B157" s="1">
        <v>5.14</v>
      </c>
      <c r="C157" s="1">
        <f t="shared" si="1"/>
        <v>0.1721943049</v>
      </c>
      <c r="D157" s="1" t="s">
        <v>21</v>
      </c>
      <c r="E157" s="1" t="s">
        <v>22</v>
      </c>
      <c r="F157" s="1" t="s">
        <v>23</v>
      </c>
      <c r="G157" s="1" t="s">
        <v>24</v>
      </c>
      <c r="H157" s="1">
        <v>5.0</v>
      </c>
    </row>
    <row r="158">
      <c r="A158" s="1">
        <v>48.17</v>
      </c>
      <c r="B158" s="1">
        <v>5.0</v>
      </c>
      <c r="C158" s="1">
        <f t="shared" si="1"/>
        <v>0.103799045</v>
      </c>
      <c r="D158" s="1" t="s">
        <v>25</v>
      </c>
      <c r="E158" s="1" t="s">
        <v>22</v>
      </c>
      <c r="F158" s="1" t="s">
        <v>23</v>
      </c>
      <c r="G158" s="1" t="s">
        <v>24</v>
      </c>
      <c r="H158" s="1">
        <v>6.0</v>
      </c>
    </row>
    <row r="159">
      <c r="A159" s="1">
        <v>25.0</v>
      </c>
      <c r="B159" s="1">
        <v>3.75</v>
      </c>
      <c r="C159" s="1">
        <f t="shared" si="1"/>
        <v>0.15</v>
      </c>
      <c r="D159" s="1" t="s">
        <v>21</v>
      </c>
      <c r="E159" s="1" t="s">
        <v>22</v>
      </c>
      <c r="F159" s="1" t="s">
        <v>23</v>
      </c>
      <c r="G159" s="1" t="s">
        <v>24</v>
      </c>
      <c r="H159" s="1">
        <v>4.0</v>
      </c>
    </row>
    <row r="160">
      <c r="A160" s="1">
        <v>13.39</v>
      </c>
      <c r="B160" s="1">
        <v>2.61</v>
      </c>
      <c r="C160" s="1">
        <f t="shared" si="1"/>
        <v>0.1949215833</v>
      </c>
      <c r="D160" s="1" t="s">
        <v>21</v>
      </c>
      <c r="E160" s="1" t="s">
        <v>22</v>
      </c>
      <c r="F160" s="1" t="s">
        <v>23</v>
      </c>
      <c r="G160" s="1" t="s">
        <v>24</v>
      </c>
      <c r="H160" s="1">
        <v>2.0</v>
      </c>
    </row>
    <row r="161">
      <c r="A161" s="1">
        <v>16.49</v>
      </c>
      <c r="B161" s="1">
        <v>2.0</v>
      </c>
      <c r="C161" s="1">
        <f t="shared" si="1"/>
        <v>0.1212856277</v>
      </c>
      <c r="D161" s="1" t="s">
        <v>25</v>
      </c>
      <c r="E161" s="1" t="s">
        <v>22</v>
      </c>
      <c r="F161" s="1" t="s">
        <v>23</v>
      </c>
      <c r="G161" s="1" t="s">
        <v>24</v>
      </c>
      <c r="H161" s="1">
        <v>4.0</v>
      </c>
    </row>
    <row r="162">
      <c r="A162" s="1">
        <v>21.5</v>
      </c>
      <c r="B162" s="1">
        <v>3.5</v>
      </c>
      <c r="C162" s="1">
        <f t="shared" si="1"/>
        <v>0.1627906977</v>
      </c>
      <c r="D162" s="1" t="s">
        <v>25</v>
      </c>
      <c r="E162" s="1" t="s">
        <v>22</v>
      </c>
      <c r="F162" s="1" t="s">
        <v>23</v>
      </c>
      <c r="G162" s="1" t="s">
        <v>24</v>
      </c>
      <c r="H162" s="1">
        <v>4.0</v>
      </c>
    </row>
    <row r="163">
      <c r="A163" s="1">
        <v>12.66</v>
      </c>
      <c r="B163" s="1">
        <v>2.5</v>
      </c>
      <c r="C163" s="1">
        <f t="shared" si="1"/>
        <v>0.1974723539</v>
      </c>
      <c r="D163" s="1" t="s">
        <v>25</v>
      </c>
      <c r="E163" s="1" t="s">
        <v>22</v>
      </c>
      <c r="F163" s="1" t="s">
        <v>23</v>
      </c>
      <c r="G163" s="1" t="s">
        <v>24</v>
      </c>
      <c r="H163" s="1">
        <v>2.0</v>
      </c>
    </row>
    <row r="164">
      <c r="A164" s="1">
        <v>16.21</v>
      </c>
      <c r="B164" s="1">
        <v>2.0</v>
      </c>
      <c r="C164" s="1">
        <f t="shared" si="1"/>
        <v>0.1233806292</v>
      </c>
      <c r="D164" s="1" t="s">
        <v>21</v>
      </c>
      <c r="E164" s="1" t="s">
        <v>22</v>
      </c>
      <c r="F164" s="1" t="s">
        <v>23</v>
      </c>
      <c r="G164" s="1" t="s">
        <v>24</v>
      </c>
      <c r="H164" s="1">
        <v>3.0</v>
      </c>
    </row>
    <row r="165">
      <c r="A165" s="1">
        <v>13.81</v>
      </c>
      <c r="B165" s="1">
        <v>2.0</v>
      </c>
      <c r="C165" s="1">
        <f t="shared" si="1"/>
        <v>0.1448225923</v>
      </c>
      <c r="D165" s="1" t="s">
        <v>25</v>
      </c>
      <c r="E165" s="1" t="s">
        <v>22</v>
      </c>
      <c r="F165" s="1" t="s">
        <v>23</v>
      </c>
      <c r="G165" s="1" t="s">
        <v>24</v>
      </c>
      <c r="H165" s="1">
        <v>2.0</v>
      </c>
    </row>
    <row r="166">
      <c r="A166" s="1">
        <v>17.51</v>
      </c>
      <c r="B166" s="1">
        <v>3.0</v>
      </c>
      <c r="C166" s="1">
        <f t="shared" si="1"/>
        <v>0.1713306682</v>
      </c>
      <c r="D166" s="1" t="s">
        <v>21</v>
      </c>
      <c r="E166" s="1" t="s">
        <v>27</v>
      </c>
      <c r="F166" s="1" t="s">
        <v>23</v>
      </c>
      <c r="G166" s="1" t="s">
        <v>24</v>
      </c>
      <c r="H166" s="1">
        <v>2.0</v>
      </c>
    </row>
    <row r="167">
      <c r="A167" s="1">
        <v>24.52</v>
      </c>
      <c r="B167" s="1">
        <v>3.48</v>
      </c>
      <c r="C167" s="1">
        <f t="shared" si="1"/>
        <v>0.1419249592</v>
      </c>
      <c r="D167" s="1" t="s">
        <v>25</v>
      </c>
      <c r="E167" s="1" t="s">
        <v>22</v>
      </c>
      <c r="F167" s="1" t="s">
        <v>23</v>
      </c>
      <c r="G167" s="1" t="s">
        <v>24</v>
      </c>
      <c r="H167" s="1">
        <v>3.0</v>
      </c>
    </row>
    <row r="168">
      <c r="A168" s="1">
        <v>20.76</v>
      </c>
      <c r="B168" s="1">
        <v>2.24</v>
      </c>
      <c r="C168" s="1">
        <f t="shared" si="1"/>
        <v>0.1078998073</v>
      </c>
      <c r="D168" s="1" t="s">
        <v>25</v>
      </c>
      <c r="E168" s="1" t="s">
        <v>22</v>
      </c>
      <c r="F168" s="1" t="s">
        <v>23</v>
      </c>
      <c r="G168" s="1" t="s">
        <v>24</v>
      </c>
      <c r="H168" s="1">
        <v>2.0</v>
      </c>
    </row>
    <row r="169">
      <c r="A169" s="1">
        <v>31.71</v>
      </c>
      <c r="B169" s="1">
        <v>4.5</v>
      </c>
      <c r="C169" s="1">
        <f t="shared" si="1"/>
        <v>0.1419110691</v>
      </c>
      <c r="D169" s="1" t="s">
        <v>25</v>
      </c>
      <c r="E169" s="1" t="s">
        <v>22</v>
      </c>
      <c r="F169" s="1" t="s">
        <v>23</v>
      </c>
      <c r="G169" s="1" t="s">
        <v>24</v>
      </c>
      <c r="H169" s="1">
        <v>4.0</v>
      </c>
    </row>
    <row r="170">
      <c r="A170" s="1">
        <v>10.59</v>
      </c>
      <c r="B170" s="1">
        <v>1.61</v>
      </c>
      <c r="C170" s="1">
        <f t="shared" si="1"/>
        <v>0.1520302172</v>
      </c>
      <c r="D170" s="1" t="s">
        <v>21</v>
      </c>
      <c r="E170" s="1" t="s">
        <v>27</v>
      </c>
      <c r="F170" s="1" t="s">
        <v>26</v>
      </c>
      <c r="G170" s="1" t="s">
        <v>24</v>
      </c>
      <c r="H170" s="1">
        <v>2.0</v>
      </c>
    </row>
    <row r="171">
      <c r="A171" s="1">
        <v>10.63</v>
      </c>
      <c r="B171" s="1">
        <v>2.0</v>
      </c>
      <c r="C171" s="1">
        <f t="shared" si="1"/>
        <v>0.1881467545</v>
      </c>
      <c r="D171" s="1" t="s">
        <v>21</v>
      </c>
      <c r="E171" s="1" t="s">
        <v>27</v>
      </c>
      <c r="F171" s="1" t="s">
        <v>26</v>
      </c>
      <c r="G171" s="1" t="s">
        <v>24</v>
      </c>
      <c r="H171" s="1">
        <v>2.0</v>
      </c>
    </row>
    <row r="172">
      <c r="A172" s="1">
        <v>50.81</v>
      </c>
      <c r="B172" s="1">
        <v>10.0</v>
      </c>
      <c r="C172" s="1">
        <f t="shared" si="1"/>
        <v>0.1968116512</v>
      </c>
      <c r="D172" s="1" t="s">
        <v>25</v>
      </c>
      <c r="E172" s="1" t="s">
        <v>27</v>
      </c>
      <c r="F172" s="1" t="s">
        <v>26</v>
      </c>
      <c r="G172" s="1" t="s">
        <v>24</v>
      </c>
      <c r="H172" s="1">
        <v>3.0</v>
      </c>
    </row>
    <row r="173">
      <c r="A173" s="1">
        <v>15.81</v>
      </c>
      <c r="B173" s="1">
        <v>3.16</v>
      </c>
      <c r="C173" s="1">
        <f t="shared" si="1"/>
        <v>0.1998734978</v>
      </c>
      <c r="D173" s="1" t="s">
        <v>25</v>
      </c>
      <c r="E173" s="1" t="s">
        <v>27</v>
      </c>
      <c r="F173" s="1" t="s">
        <v>26</v>
      </c>
      <c r="G173" s="1" t="s">
        <v>24</v>
      </c>
      <c r="H173" s="1">
        <v>2.0</v>
      </c>
    </row>
    <row r="174">
      <c r="A174" s="1">
        <v>7.25</v>
      </c>
      <c r="B174" s="1">
        <v>5.15</v>
      </c>
      <c r="C174" s="1">
        <f t="shared" si="1"/>
        <v>0.7103448276</v>
      </c>
      <c r="D174" s="1" t="s">
        <v>25</v>
      </c>
      <c r="E174" s="1" t="s">
        <v>27</v>
      </c>
      <c r="F174" s="1" t="s">
        <v>23</v>
      </c>
      <c r="G174" s="1" t="s">
        <v>24</v>
      </c>
      <c r="H174" s="1">
        <v>2.0</v>
      </c>
    </row>
    <row r="175">
      <c r="A175" s="1">
        <v>31.85</v>
      </c>
      <c r="B175" s="1">
        <v>3.18</v>
      </c>
      <c r="C175" s="1">
        <f t="shared" si="1"/>
        <v>0.09984301413</v>
      </c>
      <c r="D175" s="1" t="s">
        <v>25</v>
      </c>
      <c r="E175" s="1" t="s">
        <v>27</v>
      </c>
      <c r="F175" s="1" t="s">
        <v>23</v>
      </c>
      <c r="G175" s="1" t="s">
        <v>24</v>
      </c>
      <c r="H175" s="1">
        <v>2.0</v>
      </c>
    </row>
    <row r="176">
      <c r="A176" s="1">
        <v>16.82</v>
      </c>
      <c r="B176" s="1">
        <v>4.0</v>
      </c>
      <c r="C176" s="1">
        <f t="shared" si="1"/>
        <v>0.2378121284</v>
      </c>
      <c r="D176" s="1" t="s">
        <v>25</v>
      </c>
      <c r="E176" s="1" t="s">
        <v>27</v>
      </c>
      <c r="F176" s="1" t="s">
        <v>23</v>
      </c>
      <c r="G176" s="1" t="s">
        <v>24</v>
      </c>
      <c r="H176" s="1">
        <v>2.0</v>
      </c>
    </row>
    <row r="177">
      <c r="A177" s="1">
        <v>32.9</v>
      </c>
      <c r="B177" s="1">
        <v>3.11</v>
      </c>
      <c r="C177" s="1">
        <f t="shared" si="1"/>
        <v>0.09452887538</v>
      </c>
      <c r="D177" s="1" t="s">
        <v>25</v>
      </c>
      <c r="E177" s="1" t="s">
        <v>27</v>
      </c>
      <c r="F177" s="1" t="s">
        <v>23</v>
      </c>
      <c r="G177" s="1" t="s">
        <v>24</v>
      </c>
      <c r="H177" s="1">
        <v>2.0</v>
      </c>
    </row>
    <row r="178">
      <c r="A178" s="1">
        <v>17.89</v>
      </c>
      <c r="B178" s="1">
        <v>2.0</v>
      </c>
      <c r="C178" s="1">
        <f t="shared" si="1"/>
        <v>0.1117942985</v>
      </c>
      <c r="D178" s="1" t="s">
        <v>25</v>
      </c>
      <c r="E178" s="1" t="s">
        <v>27</v>
      </c>
      <c r="F178" s="1" t="s">
        <v>23</v>
      </c>
      <c r="G178" s="1" t="s">
        <v>24</v>
      </c>
      <c r="H178" s="1">
        <v>2.0</v>
      </c>
    </row>
    <row r="179">
      <c r="A179" s="1">
        <v>14.48</v>
      </c>
      <c r="B179" s="1">
        <v>2.0</v>
      </c>
      <c r="C179" s="1">
        <f t="shared" si="1"/>
        <v>0.138121547</v>
      </c>
      <c r="D179" s="1" t="s">
        <v>25</v>
      </c>
      <c r="E179" s="1" t="s">
        <v>27</v>
      </c>
      <c r="F179" s="1" t="s">
        <v>23</v>
      </c>
      <c r="G179" s="1" t="s">
        <v>24</v>
      </c>
      <c r="H179" s="1">
        <v>2.0</v>
      </c>
    </row>
    <row r="180">
      <c r="A180" s="1">
        <v>9.6</v>
      </c>
      <c r="B180" s="1">
        <v>4.0</v>
      </c>
      <c r="C180" s="1">
        <f t="shared" si="1"/>
        <v>0.4166666667</v>
      </c>
      <c r="D180" s="1" t="s">
        <v>21</v>
      </c>
      <c r="E180" s="1" t="s">
        <v>27</v>
      </c>
      <c r="F180" s="1" t="s">
        <v>23</v>
      </c>
      <c r="G180" s="1" t="s">
        <v>24</v>
      </c>
      <c r="H180" s="1">
        <v>2.0</v>
      </c>
    </row>
    <row r="181">
      <c r="A181" s="1">
        <v>34.63</v>
      </c>
      <c r="B181" s="1">
        <v>3.55</v>
      </c>
      <c r="C181" s="1">
        <f t="shared" si="1"/>
        <v>0.1025122726</v>
      </c>
      <c r="D181" s="1" t="s">
        <v>25</v>
      </c>
      <c r="E181" s="1" t="s">
        <v>27</v>
      </c>
      <c r="F181" s="1" t="s">
        <v>23</v>
      </c>
      <c r="G181" s="1" t="s">
        <v>24</v>
      </c>
      <c r="H181" s="1">
        <v>2.0</v>
      </c>
    </row>
    <row r="182">
      <c r="A182" s="1">
        <v>34.65</v>
      </c>
      <c r="B182" s="1">
        <v>3.68</v>
      </c>
      <c r="C182" s="1">
        <f t="shared" si="1"/>
        <v>0.1062049062</v>
      </c>
      <c r="D182" s="1" t="s">
        <v>25</v>
      </c>
      <c r="E182" s="1" t="s">
        <v>27</v>
      </c>
      <c r="F182" s="1" t="s">
        <v>23</v>
      </c>
      <c r="G182" s="1" t="s">
        <v>24</v>
      </c>
      <c r="H182" s="1">
        <v>4.0</v>
      </c>
    </row>
    <row r="183">
      <c r="A183" s="1">
        <v>23.33</v>
      </c>
      <c r="B183" s="1">
        <v>5.65</v>
      </c>
      <c r="C183" s="1">
        <f t="shared" si="1"/>
        <v>0.2421774539</v>
      </c>
      <c r="D183" s="1" t="s">
        <v>25</v>
      </c>
      <c r="E183" s="1" t="s">
        <v>27</v>
      </c>
      <c r="F183" s="1" t="s">
        <v>23</v>
      </c>
      <c r="G183" s="1" t="s">
        <v>24</v>
      </c>
      <c r="H183" s="1">
        <v>2.0</v>
      </c>
    </row>
    <row r="184">
      <c r="A184" s="1">
        <v>45.35</v>
      </c>
      <c r="B184" s="1">
        <v>3.5</v>
      </c>
      <c r="C184" s="1">
        <f t="shared" si="1"/>
        <v>0.07717750827</v>
      </c>
      <c r="D184" s="1" t="s">
        <v>25</v>
      </c>
      <c r="E184" s="1" t="s">
        <v>27</v>
      </c>
      <c r="F184" s="1" t="s">
        <v>23</v>
      </c>
      <c r="G184" s="1" t="s">
        <v>24</v>
      </c>
      <c r="H184" s="1">
        <v>3.0</v>
      </c>
    </row>
    <row r="185">
      <c r="A185" s="1">
        <v>23.17</v>
      </c>
      <c r="B185" s="1">
        <v>6.5</v>
      </c>
      <c r="C185" s="1">
        <f t="shared" si="1"/>
        <v>0.2805351748</v>
      </c>
      <c r="D185" s="1" t="s">
        <v>25</v>
      </c>
      <c r="E185" s="1" t="s">
        <v>27</v>
      </c>
      <c r="F185" s="1" t="s">
        <v>23</v>
      </c>
      <c r="G185" s="1" t="s">
        <v>24</v>
      </c>
      <c r="H185" s="1">
        <v>4.0</v>
      </c>
    </row>
    <row r="186">
      <c r="A186" s="1">
        <v>40.55</v>
      </c>
      <c r="B186" s="1">
        <v>3.0</v>
      </c>
      <c r="C186" s="1">
        <f t="shared" si="1"/>
        <v>0.07398273736</v>
      </c>
      <c r="D186" s="1" t="s">
        <v>25</v>
      </c>
      <c r="E186" s="1" t="s">
        <v>27</v>
      </c>
      <c r="F186" s="1" t="s">
        <v>23</v>
      </c>
      <c r="G186" s="1" t="s">
        <v>24</v>
      </c>
      <c r="H186" s="1">
        <v>2.0</v>
      </c>
    </row>
    <row r="187">
      <c r="A187" s="1">
        <v>20.69</v>
      </c>
      <c r="B187" s="1">
        <v>5.0</v>
      </c>
      <c r="C187" s="1">
        <f t="shared" si="1"/>
        <v>0.241662639</v>
      </c>
      <c r="D187" s="1" t="s">
        <v>25</v>
      </c>
      <c r="E187" s="1" t="s">
        <v>22</v>
      </c>
      <c r="F187" s="1" t="s">
        <v>23</v>
      </c>
      <c r="G187" s="1" t="s">
        <v>24</v>
      </c>
      <c r="H187" s="1">
        <v>5.0</v>
      </c>
    </row>
    <row r="188">
      <c r="A188" s="1">
        <v>20.9</v>
      </c>
      <c r="B188" s="1">
        <v>3.5</v>
      </c>
      <c r="C188" s="1">
        <f t="shared" si="1"/>
        <v>0.1674641148</v>
      </c>
      <c r="D188" s="1" t="s">
        <v>21</v>
      </c>
      <c r="E188" s="1" t="s">
        <v>27</v>
      </c>
      <c r="F188" s="1" t="s">
        <v>23</v>
      </c>
      <c r="G188" s="1" t="s">
        <v>24</v>
      </c>
      <c r="H188" s="1">
        <v>3.0</v>
      </c>
    </row>
    <row r="189">
      <c r="A189" s="1">
        <v>30.46</v>
      </c>
      <c r="B189" s="1">
        <v>2.0</v>
      </c>
      <c r="C189" s="1">
        <f t="shared" si="1"/>
        <v>0.06565988181</v>
      </c>
      <c r="D189" s="1" t="s">
        <v>25</v>
      </c>
      <c r="E189" s="1" t="s">
        <v>27</v>
      </c>
      <c r="F189" s="1" t="s">
        <v>23</v>
      </c>
      <c r="G189" s="1" t="s">
        <v>24</v>
      </c>
      <c r="H189" s="1">
        <v>5.0</v>
      </c>
    </row>
    <row r="190">
      <c r="A190" s="1">
        <v>18.15</v>
      </c>
      <c r="B190" s="1">
        <v>3.5</v>
      </c>
      <c r="C190" s="1">
        <f t="shared" si="1"/>
        <v>0.1928374656</v>
      </c>
      <c r="D190" s="1" t="s">
        <v>21</v>
      </c>
      <c r="E190" s="1" t="s">
        <v>27</v>
      </c>
      <c r="F190" s="1" t="s">
        <v>23</v>
      </c>
      <c r="G190" s="1" t="s">
        <v>24</v>
      </c>
      <c r="H190" s="1">
        <v>3.0</v>
      </c>
    </row>
    <row r="191">
      <c r="A191" s="1">
        <v>23.1</v>
      </c>
      <c r="B191" s="1">
        <v>4.0</v>
      </c>
      <c r="C191" s="1">
        <f t="shared" si="1"/>
        <v>0.1731601732</v>
      </c>
      <c r="D191" s="1" t="s">
        <v>25</v>
      </c>
      <c r="E191" s="1" t="s">
        <v>27</v>
      </c>
      <c r="F191" s="1" t="s">
        <v>23</v>
      </c>
      <c r="G191" s="1" t="s">
        <v>24</v>
      </c>
      <c r="H191" s="1">
        <v>3.0</v>
      </c>
    </row>
    <row r="192">
      <c r="A192" s="1">
        <v>15.69</v>
      </c>
      <c r="B192" s="1">
        <v>1.5</v>
      </c>
      <c r="C192" s="1">
        <f t="shared" si="1"/>
        <v>0.09560229446</v>
      </c>
      <c r="D192" s="1" t="s">
        <v>25</v>
      </c>
      <c r="E192" s="1" t="s">
        <v>27</v>
      </c>
      <c r="F192" s="1" t="s">
        <v>23</v>
      </c>
      <c r="G192" s="1" t="s">
        <v>24</v>
      </c>
      <c r="H192" s="1">
        <v>2.0</v>
      </c>
    </row>
    <row r="193">
      <c r="A193" s="1">
        <v>19.81</v>
      </c>
      <c r="B193" s="1">
        <v>4.19</v>
      </c>
      <c r="C193" s="1">
        <f t="shared" si="1"/>
        <v>0.2115093387</v>
      </c>
      <c r="D193" s="1" t="s">
        <v>21</v>
      </c>
      <c r="E193" s="1" t="s">
        <v>27</v>
      </c>
      <c r="F193" s="1" t="s">
        <v>28</v>
      </c>
      <c r="G193" s="1" t="s">
        <v>29</v>
      </c>
      <c r="H193" s="1">
        <v>2.0</v>
      </c>
    </row>
    <row r="194">
      <c r="A194" s="1">
        <v>28.44</v>
      </c>
      <c r="B194" s="1">
        <v>2.56</v>
      </c>
      <c r="C194" s="1">
        <f t="shared" si="1"/>
        <v>0.0900140647</v>
      </c>
      <c r="D194" s="1" t="s">
        <v>25</v>
      </c>
      <c r="E194" s="1" t="s">
        <v>27</v>
      </c>
      <c r="F194" s="1" t="s">
        <v>28</v>
      </c>
      <c r="G194" s="1" t="s">
        <v>29</v>
      </c>
      <c r="H194" s="1">
        <v>2.0</v>
      </c>
    </row>
    <row r="195">
      <c r="A195" s="1">
        <v>15.48</v>
      </c>
      <c r="B195" s="1">
        <v>2.02</v>
      </c>
      <c r="C195" s="1">
        <f t="shared" si="1"/>
        <v>0.1304909561</v>
      </c>
      <c r="D195" s="1" t="s">
        <v>25</v>
      </c>
      <c r="E195" s="1" t="s">
        <v>27</v>
      </c>
      <c r="F195" s="1" t="s">
        <v>28</v>
      </c>
      <c r="G195" s="1" t="s">
        <v>29</v>
      </c>
      <c r="H195" s="1">
        <v>2.0</v>
      </c>
    </row>
    <row r="196">
      <c r="A196" s="1">
        <v>16.58</v>
      </c>
      <c r="B196" s="1">
        <v>4.0</v>
      </c>
      <c r="C196" s="1">
        <f t="shared" si="1"/>
        <v>0.2412545235</v>
      </c>
      <c r="D196" s="1" t="s">
        <v>25</v>
      </c>
      <c r="E196" s="1" t="s">
        <v>27</v>
      </c>
      <c r="F196" s="1" t="s">
        <v>28</v>
      </c>
      <c r="G196" s="1" t="s">
        <v>29</v>
      </c>
      <c r="H196" s="1">
        <v>2.0</v>
      </c>
    </row>
    <row r="197">
      <c r="A197" s="1">
        <v>7.56</v>
      </c>
      <c r="B197" s="1">
        <v>1.44</v>
      </c>
      <c r="C197" s="1">
        <f t="shared" si="1"/>
        <v>0.1904761905</v>
      </c>
      <c r="D197" s="1" t="s">
        <v>25</v>
      </c>
      <c r="E197" s="1" t="s">
        <v>22</v>
      </c>
      <c r="F197" s="1" t="s">
        <v>28</v>
      </c>
      <c r="G197" s="1" t="s">
        <v>29</v>
      </c>
      <c r="H197" s="1">
        <v>2.0</v>
      </c>
    </row>
    <row r="198">
      <c r="A198" s="1">
        <v>10.34</v>
      </c>
      <c r="B198" s="1">
        <v>2.0</v>
      </c>
      <c r="C198" s="1">
        <f t="shared" si="1"/>
        <v>0.1934235977</v>
      </c>
      <c r="D198" s="1" t="s">
        <v>25</v>
      </c>
      <c r="E198" s="1" t="s">
        <v>27</v>
      </c>
      <c r="F198" s="1" t="s">
        <v>28</v>
      </c>
      <c r="G198" s="1" t="s">
        <v>29</v>
      </c>
      <c r="H198" s="1">
        <v>2.0</v>
      </c>
    </row>
    <row r="199">
      <c r="A199" s="1">
        <v>43.11</v>
      </c>
      <c r="B199" s="1">
        <v>5.0</v>
      </c>
      <c r="C199" s="1">
        <f t="shared" si="1"/>
        <v>0.1159823707</v>
      </c>
      <c r="D199" s="1" t="s">
        <v>21</v>
      </c>
      <c r="E199" s="1" t="s">
        <v>27</v>
      </c>
      <c r="F199" s="1" t="s">
        <v>28</v>
      </c>
      <c r="G199" s="1" t="s">
        <v>29</v>
      </c>
      <c r="H199" s="1">
        <v>4.0</v>
      </c>
    </row>
    <row r="200">
      <c r="A200" s="1">
        <v>13.0</v>
      </c>
      <c r="B200" s="1">
        <v>2.0</v>
      </c>
      <c r="C200" s="1">
        <f t="shared" si="1"/>
        <v>0.1538461538</v>
      </c>
      <c r="D200" s="1" t="s">
        <v>21</v>
      </c>
      <c r="E200" s="1" t="s">
        <v>27</v>
      </c>
      <c r="F200" s="1" t="s">
        <v>28</v>
      </c>
      <c r="G200" s="1" t="s">
        <v>29</v>
      </c>
      <c r="H200" s="1">
        <v>2.0</v>
      </c>
    </row>
    <row r="201">
      <c r="A201" s="1">
        <v>13.51</v>
      </c>
      <c r="B201" s="1">
        <v>2.0</v>
      </c>
      <c r="C201" s="1">
        <f t="shared" si="1"/>
        <v>0.14803849</v>
      </c>
      <c r="D201" s="1" t="s">
        <v>25</v>
      </c>
      <c r="E201" s="1" t="s">
        <v>27</v>
      </c>
      <c r="F201" s="1" t="s">
        <v>28</v>
      </c>
      <c r="G201" s="1" t="s">
        <v>29</v>
      </c>
      <c r="H201" s="1">
        <v>2.0</v>
      </c>
    </row>
    <row r="202">
      <c r="A202" s="1">
        <v>18.71</v>
      </c>
      <c r="B202" s="1">
        <v>4.0</v>
      </c>
      <c r="C202" s="1">
        <f t="shared" si="1"/>
        <v>0.2137894174</v>
      </c>
      <c r="D202" s="1" t="s">
        <v>25</v>
      </c>
      <c r="E202" s="1" t="s">
        <v>27</v>
      </c>
      <c r="F202" s="1" t="s">
        <v>28</v>
      </c>
      <c r="G202" s="1" t="s">
        <v>29</v>
      </c>
      <c r="H202" s="1">
        <v>3.0</v>
      </c>
    </row>
    <row r="203">
      <c r="A203" s="1">
        <v>12.74</v>
      </c>
      <c r="B203" s="1">
        <v>2.01</v>
      </c>
      <c r="C203" s="1">
        <f t="shared" si="1"/>
        <v>0.1577708006</v>
      </c>
      <c r="D203" s="1" t="s">
        <v>21</v>
      </c>
      <c r="E203" s="1" t="s">
        <v>27</v>
      </c>
      <c r="F203" s="1" t="s">
        <v>28</v>
      </c>
      <c r="G203" s="1" t="s">
        <v>29</v>
      </c>
      <c r="H203" s="1">
        <v>2.0</v>
      </c>
    </row>
    <row r="204">
      <c r="A204" s="1">
        <v>13.0</v>
      </c>
      <c r="B204" s="1">
        <v>2.0</v>
      </c>
      <c r="C204" s="1">
        <f t="shared" si="1"/>
        <v>0.1538461538</v>
      </c>
      <c r="D204" s="1" t="s">
        <v>21</v>
      </c>
      <c r="E204" s="1" t="s">
        <v>27</v>
      </c>
      <c r="F204" s="1" t="s">
        <v>28</v>
      </c>
      <c r="G204" s="1" t="s">
        <v>29</v>
      </c>
      <c r="H204" s="1">
        <v>2.0</v>
      </c>
    </row>
    <row r="205">
      <c r="A205" s="1">
        <v>16.4</v>
      </c>
      <c r="B205" s="1">
        <v>2.5</v>
      </c>
      <c r="C205" s="1">
        <f t="shared" si="1"/>
        <v>0.1524390244</v>
      </c>
      <c r="D205" s="1" t="s">
        <v>21</v>
      </c>
      <c r="E205" s="1" t="s">
        <v>27</v>
      </c>
      <c r="F205" s="1" t="s">
        <v>28</v>
      </c>
      <c r="G205" s="1" t="s">
        <v>29</v>
      </c>
      <c r="H205" s="1">
        <v>2.0</v>
      </c>
    </row>
    <row r="206">
      <c r="A206" s="1">
        <v>20.53</v>
      </c>
      <c r="B206" s="1">
        <v>4.0</v>
      </c>
      <c r="C206" s="1">
        <f t="shared" si="1"/>
        <v>0.1948368242</v>
      </c>
      <c r="D206" s="1" t="s">
        <v>25</v>
      </c>
      <c r="E206" s="1" t="s">
        <v>27</v>
      </c>
      <c r="F206" s="1" t="s">
        <v>28</v>
      </c>
      <c r="G206" s="1" t="s">
        <v>29</v>
      </c>
      <c r="H206" s="1">
        <v>4.0</v>
      </c>
    </row>
    <row r="207">
      <c r="A207" s="1">
        <v>16.47</v>
      </c>
      <c r="B207" s="1">
        <v>3.23</v>
      </c>
      <c r="C207" s="1">
        <f t="shared" si="1"/>
        <v>0.1961141469</v>
      </c>
      <c r="D207" s="1" t="s">
        <v>21</v>
      </c>
      <c r="E207" s="1" t="s">
        <v>27</v>
      </c>
      <c r="F207" s="1" t="s">
        <v>28</v>
      </c>
      <c r="G207" s="1" t="s">
        <v>29</v>
      </c>
      <c r="H207" s="1">
        <v>3.0</v>
      </c>
    </row>
    <row r="208">
      <c r="A208" s="1">
        <v>26.59</v>
      </c>
      <c r="B208" s="1">
        <v>3.41</v>
      </c>
      <c r="C208" s="1">
        <f t="shared" si="1"/>
        <v>0.1282437006</v>
      </c>
      <c r="D208" s="1" t="s">
        <v>25</v>
      </c>
      <c r="E208" s="1" t="s">
        <v>27</v>
      </c>
      <c r="F208" s="1" t="s">
        <v>26</v>
      </c>
      <c r="G208" s="1" t="s">
        <v>24</v>
      </c>
      <c r="H208" s="1">
        <v>3.0</v>
      </c>
    </row>
    <row r="209">
      <c r="A209" s="1">
        <v>38.73</v>
      </c>
      <c r="B209" s="1">
        <v>3.0</v>
      </c>
      <c r="C209" s="1">
        <f t="shared" si="1"/>
        <v>0.07745933385</v>
      </c>
      <c r="D209" s="1" t="s">
        <v>25</v>
      </c>
      <c r="E209" s="1" t="s">
        <v>27</v>
      </c>
      <c r="F209" s="1" t="s">
        <v>26</v>
      </c>
      <c r="G209" s="1" t="s">
        <v>24</v>
      </c>
      <c r="H209" s="1">
        <v>4.0</v>
      </c>
    </row>
    <row r="210">
      <c r="A210" s="1">
        <v>24.27</v>
      </c>
      <c r="B210" s="1">
        <v>2.03</v>
      </c>
      <c r="C210" s="1">
        <f t="shared" si="1"/>
        <v>0.08364235682</v>
      </c>
      <c r="D210" s="1" t="s">
        <v>25</v>
      </c>
      <c r="E210" s="1" t="s">
        <v>27</v>
      </c>
      <c r="F210" s="1" t="s">
        <v>26</v>
      </c>
      <c r="G210" s="1" t="s">
        <v>24</v>
      </c>
      <c r="H210" s="1">
        <v>2.0</v>
      </c>
    </row>
    <row r="211">
      <c r="A211" s="1">
        <v>12.76</v>
      </c>
      <c r="B211" s="1">
        <v>2.23</v>
      </c>
      <c r="C211" s="1">
        <f t="shared" si="1"/>
        <v>0.1747648903</v>
      </c>
      <c r="D211" s="1" t="s">
        <v>21</v>
      </c>
      <c r="E211" s="1" t="s">
        <v>27</v>
      </c>
      <c r="F211" s="1" t="s">
        <v>26</v>
      </c>
      <c r="G211" s="1" t="s">
        <v>24</v>
      </c>
      <c r="H211" s="1">
        <v>2.0</v>
      </c>
    </row>
    <row r="212">
      <c r="A212" s="1">
        <v>30.06</v>
      </c>
      <c r="B212" s="1">
        <v>2.0</v>
      </c>
      <c r="C212" s="1">
        <f t="shared" si="1"/>
        <v>0.06653359947</v>
      </c>
      <c r="D212" s="1" t="s">
        <v>25</v>
      </c>
      <c r="E212" s="1" t="s">
        <v>27</v>
      </c>
      <c r="F212" s="1" t="s">
        <v>26</v>
      </c>
      <c r="G212" s="1" t="s">
        <v>24</v>
      </c>
      <c r="H212" s="1">
        <v>3.0</v>
      </c>
    </row>
    <row r="213">
      <c r="A213" s="1">
        <v>25.89</v>
      </c>
      <c r="B213" s="1">
        <v>5.16</v>
      </c>
      <c r="C213" s="1">
        <f t="shared" si="1"/>
        <v>0.1993047509</v>
      </c>
      <c r="D213" s="1" t="s">
        <v>25</v>
      </c>
      <c r="E213" s="1" t="s">
        <v>27</v>
      </c>
      <c r="F213" s="1" t="s">
        <v>26</v>
      </c>
      <c r="G213" s="1" t="s">
        <v>24</v>
      </c>
      <c r="H213" s="1">
        <v>4.0</v>
      </c>
    </row>
    <row r="214">
      <c r="A214" s="1">
        <v>48.33</v>
      </c>
      <c r="B214" s="1">
        <v>9.0</v>
      </c>
      <c r="C214" s="1">
        <f t="shared" si="1"/>
        <v>0.1862197393</v>
      </c>
      <c r="D214" s="1" t="s">
        <v>25</v>
      </c>
      <c r="E214" s="1" t="s">
        <v>22</v>
      </c>
      <c r="F214" s="1" t="s">
        <v>26</v>
      </c>
      <c r="G214" s="1" t="s">
        <v>24</v>
      </c>
      <c r="H214" s="1">
        <v>4.0</v>
      </c>
    </row>
    <row r="215">
      <c r="A215" s="1">
        <v>13.27</v>
      </c>
      <c r="B215" s="1">
        <v>2.5</v>
      </c>
      <c r="C215" s="1">
        <f t="shared" si="1"/>
        <v>0.1883948757</v>
      </c>
      <c r="D215" s="1" t="s">
        <v>21</v>
      </c>
      <c r="E215" s="1" t="s">
        <v>27</v>
      </c>
      <c r="F215" s="1" t="s">
        <v>26</v>
      </c>
      <c r="G215" s="1" t="s">
        <v>24</v>
      </c>
      <c r="H215" s="1">
        <v>2.0</v>
      </c>
    </row>
    <row r="216">
      <c r="A216" s="1">
        <v>28.17</v>
      </c>
      <c r="B216" s="1">
        <v>6.5</v>
      </c>
      <c r="C216" s="1">
        <f t="shared" si="1"/>
        <v>0.230741924</v>
      </c>
      <c r="D216" s="1" t="s">
        <v>21</v>
      </c>
      <c r="E216" s="1" t="s">
        <v>27</v>
      </c>
      <c r="F216" s="1" t="s">
        <v>26</v>
      </c>
      <c r="G216" s="1" t="s">
        <v>24</v>
      </c>
      <c r="H216" s="1">
        <v>3.0</v>
      </c>
    </row>
    <row r="217">
      <c r="A217" s="1">
        <v>12.9</v>
      </c>
      <c r="B217" s="1">
        <v>1.1</v>
      </c>
      <c r="C217" s="1">
        <f t="shared" si="1"/>
        <v>0.08527131783</v>
      </c>
      <c r="D217" s="1" t="s">
        <v>21</v>
      </c>
      <c r="E217" s="1" t="s">
        <v>27</v>
      </c>
      <c r="F217" s="1" t="s">
        <v>26</v>
      </c>
      <c r="G217" s="1" t="s">
        <v>24</v>
      </c>
      <c r="H217" s="1">
        <v>2.0</v>
      </c>
    </row>
    <row r="218">
      <c r="A218" s="1">
        <v>28.15</v>
      </c>
      <c r="B218" s="1">
        <v>3.0</v>
      </c>
      <c r="C218" s="1">
        <f t="shared" si="1"/>
        <v>0.1065719361</v>
      </c>
      <c r="D218" s="1" t="s">
        <v>25</v>
      </c>
      <c r="E218" s="1" t="s">
        <v>27</v>
      </c>
      <c r="F218" s="1" t="s">
        <v>26</v>
      </c>
      <c r="G218" s="1" t="s">
        <v>24</v>
      </c>
      <c r="H218" s="1">
        <v>5.0</v>
      </c>
    </row>
    <row r="219">
      <c r="A219" s="1">
        <v>11.59</v>
      </c>
      <c r="B219" s="1">
        <v>1.5</v>
      </c>
      <c r="C219" s="1">
        <f t="shared" si="1"/>
        <v>0.1294219154</v>
      </c>
      <c r="D219" s="1" t="s">
        <v>25</v>
      </c>
      <c r="E219" s="1" t="s">
        <v>27</v>
      </c>
      <c r="F219" s="1" t="s">
        <v>26</v>
      </c>
      <c r="G219" s="1" t="s">
        <v>24</v>
      </c>
      <c r="H219" s="1">
        <v>2.0</v>
      </c>
    </row>
    <row r="220">
      <c r="A220" s="1">
        <v>7.74</v>
      </c>
      <c r="B220" s="1">
        <v>1.44</v>
      </c>
      <c r="C220" s="1">
        <f t="shared" si="1"/>
        <v>0.1860465116</v>
      </c>
      <c r="D220" s="1" t="s">
        <v>25</v>
      </c>
      <c r="E220" s="1" t="s">
        <v>27</v>
      </c>
      <c r="F220" s="1" t="s">
        <v>26</v>
      </c>
      <c r="G220" s="1" t="s">
        <v>24</v>
      </c>
      <c r="H220" s="1">
        <v>2.0</v>
      </c>
    </row>
    <row r="221">
      <c r="A221" s="1">
        <v>30.14</v>
      </c>
      <c r="B221" s="1">
        <v>3.09</v>
      </c>
      <c r="C221" s="1">
        <f t="shared" si="1"/>
        <v>0.102521566</v>
      </c>
      <c r="D221" s="1" t="s">
        <v>21</v>
      </c>
      <c r="E221" s="1" t="s">
        <v>27</v>
      </c>
      <c r="F221" s="1" t="s">
        <v>26</v>
      </c>
      <c r="G221" s="1" t="s">
        <v>24</v>
      </c>
      <c r="H221" s="1">
        <v>4.0</v>
      </c>
    </row>
    <row r="222">
      <c r="A222" s="1">
        <v>12.16</v>
      </c>
      <c r="B222" s="1">
        <v>2.2</v>
      </c>
      <c r="C222" s="1">
        <f t="shared" si="1"/>
        <v>0.1809210526</v>
      </c>
      <c r="D222" s="1" t="s">
        <v>25</v>
      </c>
      <c r="E222" s="1" t="s">
        <v>27</v>
      </c>
      <c r="F222" s="1" t="s">
        <v>30</v>
      </c>
      <c r="G222" s="1" t="s">
        <v>29</v>
      </c>
      <c r="H222" s="1">
        <v>2.0</v>
      </c>
    </row>
    <row r="223">
      <c r="A223" s="1">
        <v>13.42</v>
      </c>
      <c r="B223" s="1">
        <v>3.48</v>
      </c>
      <c r="C223" s="1">
        <f t="shared" si="1"/>
        <v>0.259314456</v>
      </c>
      <c r="D223" s="1" t="s">
        <v>21</v>
      </c>
      <c r="E223" s="1" t="s">
        <v>27</v>
      </c>
      <c r="F223" s="1" t="s">
        <v>30</v>
      </c>
      <c r="G223" s="1" t="s">
        <v>29</v>
      </c>
      <c r="H223" s="1">
        <v>2.0</v>
      </c>
    </row>
    <row r="224">
      <c r="A224" s="1">
        <v>8.58</v>
      </c>
      <c r="B224" s="1">
        <v>1.92</v>
      </c>
      <c r="C224" s="1">
        <f t="shared" si="1"/>
        <v>0.2237762238</v>
      </c>
      <c r="D224" s="1" t="s">
        <v>25</v>
      </c>
      <c r="E224" s="1" t="s">
        <v>27</v>
      </c>
      <c r="F224" s="1" t="s">
        <v>30</v>
      </c>
      <c r="G224" s="1" t="s">
        <v>29</v>
      </c>
      <c r="H224" s="1">
        <v>1.0</v>
      </c>
    </row>
    <row r="225">
      <c r="A225" s="1">
        <v>15.98</v>
      </c>
      <c r="B225" s="1">
        <v>3.0</v>
      </c>
      <c r="C225" s="1">
        <f t="shared" si="1"/>
        <v>0.1877346683</v>
      </c>
      <c r="D225" s="1" t="s">
        <v>21</v>
      </c>
      <c r="E225" s="1" t="s">
        <v>22</v>
      </c>
      <c r="F225" s="1" t="s">
        <v>30</v>
      </c>
      <c r="G225" s="1" t="s">
        <v>29</v>
      </c>
      <c r="H225" s="1">
        <v>3.0</v>
      </c>
    </row>
    <row r="226">
      <c r="A226" s="1">
        <v>13.42</v>
      </c>
      <c r="B226" s="1">
        <v>1.58</v>
      </c>
      <c r="C226" s="1">
        <f t="shared" si="1"/>
        <v>0.1177347243</v>
      </c>
      <c r="D226" s="1" t="s">
        <v>25</v>
      </c>
      <c r="E226" s="1" t="s">
        <v>27</v>
      </c>
      <c r="F226" s="1" t="s">
        <v>30</v>
      </c>
      <c r="G226" s="1" t="s">
        <v>29</v>
      </c>
      <c r="H226" s="1">
        <v>2.0</v>
      </c>
    </row>
    <row r="227">
      <c r="A227" s="1">
        <v>16.27</v>
      </c>
      <c r="B227" s="1">
        <v>2.5</v>
      </c>
      <c r="C227" s="1">
        <f t="shared" si="1"/>
        <v>0.1536570375</v>
      </c>
      <c r="D227" s="1" t="s">
        <v>21</v>
      </c>
      <c r="E227" s="1" t="s">
        <v>27</v>
      </c>
      <c r="F227" s="1" t="s">
        <v>30</v>
      </c>
      <c r="G227" s="1" t="s">
        <v>29</v>
      </c>
      <c r="H227" s="1">
        <v>2.0</v>
      </c>
    </row>
    <row r="228">
      <c r="A228" s="1">
        <v>10.09</v>
      </c>
      <c r="B228" s="1">
        <v>2.0</v>
      </c>
      <c r="C228" s="1">
        <f t="shared" si="1"/>
        <v>0.1982160555</v>
      </c>
      <c r="D228" s="1" t="s">
        <v>21</v>
      </c>
      <c r="E228" s="1" t="s">
        <v>27</v>
      </c>
      <c r="F228" s="1" t="s">
        <v>30</v>
      </c>
      <c r="G228" s="1" t="s">
        <v>29</v>
      </c>
      <c r="H228" s="1">
        <v>2.0</v>
      </c>
    </row>
    <row r="229">
      <c r="A229" s="1">
        <v>20.45</v>
      </c>
      <c r="B229" s="1">
        <v>3.0</v>
      </c>
      <c r="C229" s="1">
        <f t="shared" si="1"/>
        <v>0.1466992665</v>
      </c>
      <c r="D229" s="1" t="s">
        <v>25</v>
      </c>
      <c r="E229" s="1" t="s">
        <v>22</v>
      </c>
      <c r="F229" s="1" t="s">
        <v>26</v>
      </c>
      <c r="G229" s="1" t="s">
        <v>24</v>
      </c>
      <c r="H229" s="1">
        <v>4.0</v>
      </c>
    </row>
    <row r="230">
      <c r="A230" s="1">
        <v>13.28</v>
      </c>
      <c r="B230" s="1">
        <v>2.72</v>
      </c>
      <c r="C230" s="1">
        <f t="shared" si="1"/>
        <v>0.2048192771</v>
      </c>
      <c r="D230" s="1" t="s">
        <v>25</v>
      </c>
      <c r="E230" s="1" t="s">
        <v>22</v>
      </c>
      <c r="F230" s="1" t="s">
        <v>26</v>
      </c>
      <c r="G230" s="1" t="s">
        <v>24</v>
      </c>
      <c r="H230" s="1">
        <v>2.0</v>
      </c>
    </row>
    <row r="231">
      <c r="A231" s="1">
        <v>22.12</v>
      </c>
      <c r="B231" s="1">
        <v>2.88</v>
      </c>
      <c r="C231" s="1">
        <f t="shared" si="1"/>
        <v>0.130198915</v>
      </c>
      <c r="D231" s="1" t="s">
        <v>21</v>
      </c>
      <c r="E231" s="1" t="s">
        <v>27</v>
      </c>
      <c r="F231" s="1" t="s">
        <v>26</v>
      </c>
      <c r="G231" s="1" t="s">
        <v>24</v>
      </c>
      <c r="H231" s="1">
        <v>2.0</v>
      </c>
    </row>
    <row r="232">
      <c r="A232" s="1">
        <v>24.01</v>
      </c>
      <c r="B232" s="1">
        <v>2.0</v>
      </c>
      <c r="C232" s="1">
        <f t="shared" si="1"/>
        <v>0.08329862557</v>
      </c>
      <c r="D232" s="1" t="s">
        <v>25</v>
      </c>
      <c r="E232" s="1" t="s">
        <v>27</v>
      </c>
      <c r="F232" s="1" t="s">
        <v>26</v>
      </c>
      <c r="G232" s="1" t="s">
        <v>24</v>
      </c>
      <c r="H232" s="1">
        <v>4.0</v>
      </c>
    </row>
    <row r="233">
      <c r="A233" s="1">
        <v>15.69</v>
      </c>
      <c r="B233" s="1">
        <v>3.0</v>
      </c>
      <c r="C233" s="1">
        <f t="shared" si="1"/>
        <v>0.1912045889</v>
      </c>
      <c r="D233" s="1" t="s">
        <v>25</v>
      </c>
      <c r="E233" s="1" t="s">
        <v>27</v>
      </c>
      <c r="F233" s="1" t="s">
        <v>26</v>
      </c>
      <c r="G233" s="1" t="s">
        <v>24</v>
      </c>
      <c r="H233" s="1">
        <v>3.0</v>
      </c>
    </row>
    <row r="234">
      <c r="A234" s="1">
        <v>11.61</v>
      </c>
      <c r="B234" s="1">
        <v>3.39</v>
      </c>
      <c r="C234" s="1">
        <f t="shared" si="1"/>
        <v>0.2919896641</v>
      </c>
      <c r="D234" s="1" t="s">
        <v>25</v>
      </c>
      <c r="E234" s="1" t="s">
        <v>22</v>
      </c>
      <c r="F234" s="1" t="s">
        <v>26</v>
      </c>
      <c r="G234" s="1" t="s">
        <v>24</v>
      </c>
      <c r="H234" s="1">
        <v>2.0</v>
      </c>
    </row>
    <row r="235">
      <c r="A235" s="1">
        <v>10.77</v>
      </c>
      <c r="B235" s="1">
        <v>1.47</v>
      </c>
      <c r="C235" s="1">
        <f t="shared" si="1"/>
        <v>0.1364902507</v>
      </c>
      <c r="D235" s="1" t="s">
        <v>25</v>
      </c>
      <c r="E235" s="1" t="s">
        <v>22</v>
      </c>
      <c r="F235" s="1" t="s">
        <v>26</v>
      </c>
      <c r="G235" s="1" t="s">
        <v>24</v>
      </c>
      <c r="H235" s="1">
        <v>2.0</v>
      </c>
    </row>
    <row r="236">
      <c r="A236" s="1">
        <v>15.53</v>
      </c>
      <c r="B236" s="1">
        <v>3.0</v>
      </c>
      <c r="C236" s="1">
        <f t="shared" si="1"/>
        <v>0.193174501</v>
      </c>
      <c r="D236" s="1" t="s">
        <v>25</v>
      </c>
      <c r="E236" s="1" t="s">
        <v>27</v>
      </c>
      <c r="F236" s="1" t="s">
        <v>26</v>
      </c>
      <c r="G236" s="1" t="s">
        <v>24</v>
      </c>
      <c r="H236" s="1">
        <v>2.0</v>
      </c>
    </row>
    <row r="237">
      <c r="A237" s="1">
        <v>10.07</v>
      </c>
      <c r="B237" s="1">
        <v>1.25</v>
      </c>
      <c r="C237" s="1">
        <f t="shared" si="1"/>
        <v>0.1241310824</v>
      </c>
      <c r="D237" s="1" t="s">
        <v>25</v>
      </c>
      <c r="E237" s="1" t="s">
        <v>22</v>
      </c>
      <c r="F237" s="1" t="s">
        <v>26</v>
      </c>
      <c r="G237" s="1" t="s">
        <v>24</v>
      </c>
      <c r="H237" s="1">
        <v>2.0</v>
      </c>
    </row>
    <row r="238">
      <c r="A238" s="1">
        <v>12.6</v>
      </c>
      <c r="B238" s="1">
        <v>1.0</v>
      </c>
      <c r="C238" s="1">
        <f t="shared" si="1"/>
        <v>0.07936507937</v>
      </c>
      <c r="D238" s="1" t="s">
        <v>25</v>
      </c>
      <c r="E238" s="1" t="s">
        <v>27</v>
      </c>
      <c r="F238" s="1" t="s">
        <v>26</v>
      </c>
      <c r="G238" s="1" t="s">
        <v>24</v>
      </c>
      <c r="H238" s="1">
        <v>2.0</v>
      </c>
    </row>
    <row r="239">
      <c r="A239" s="1">
        <v>32.83</v>
      </c>
      <c r="B239" s="1">
        <v>1.17</v>
      </c>
      <c r="C239" s="1">
        <f t="shared" si="1"/>
        <v>0.03563813585</v>
      </c>
      <c r="D239" s="1" t="s">
        <v>25</v>
      </c>
      <c r="E239" s="1" t="s">
        <v>27</v>
      </c>
      <c r="F239" s="1" t="s">
        <v>26</v>
      </c>
      <c r="G239" s="1" t="s">
        <v>24</v>
      </c>
      <c r="H239" s="1">
        <v>2.0</v>
      </c>
    </row>
    <row r="240">
      <c r="A240" s="1">
        <v>35.83</v>
      </c>
      <c r="B240" s="1">
        <v>4.67</v>
      </c>
      <c r="C240" s="1">
        <f t="shared" si="1"/>
        <v>0.1303377058</v>
      </c>
      <c r="D240" s="1" t="s">
        <v>21</v>
      </c>
      <c r="E240" s="1" t="s">
        <v>22</v>
      </c>
      <c r="F240" s="1" t="s">
        <v>26</v>
      </c>
      <c r="G240" s="1" t="s">
        <v>24</v>
      </c>
      <c r="H240" s="1">
        <v>3.0</v>
      </c>
    </row>
    <row r="241">
      <c r="A241" s="1">
        <v>29.03</v>
      </c>
      <c r="B241" s="1">
        <v>5.92</v>
      </c>
      <c r="C241" s="1">
        <f t="shared" si="1"/>
        <v>0.2039269721</v>
      </c>
      <c r="D241" s="1" t="s">
        <v>25</v>
      </c>
      <c r="E241" s="1" t="s">
        <v>22</v>
      </c>
      <c r="F241" s="1" t="s">
        <v>26</v>
      </c>
      <c r="G241" s="1" t="s">
        <v>24</v>
      </c>
      <c r="H241" s="1">
        <v>3.0</v>
      </c>
    </row>
    <row r="242">
      <c r="A242" s="1">
        <v>27.18</v>
      </c>
      <c r="B242" s="1">
        <v>2.0</v>
      </c>
      <c r="C242" s="1">
        <f t="shared" si="1"/>
        <v>0.07358351729</v>
      </c>
      <c r="D242" s="1" t="s">
        <v>21</v>
      </c>
      <c r="E242" s="1" t="s">
        <v>27</v>
      </c>
      <c r="F242" s="1" t="s">
        <v>26</v>
      </c>
      <c r="G242" s="1" t="s">
        <v>24</v>
      </c>
      <c r="H242" s="1">
        <v>2.0</v>
      </c>
    </row>
    <row r="243">
      <c r="A243" s="1">
        <v>22.67</v>
      </c>
      <c r="B243" s="1">
        <v>2.0</v>
      </c>
      <c r="C243" s="1">
        <f t="shared" si="1"/>
        <v>0.08822232025</v>
      </c>
      <c r="D243" s="1" t="s">
        <v>25</v>
      </c>
      <c r="E243" s="1" t="s">
        <v>27</v>
      </c>
      <c r="F243" s="1" t="s">
        <v>26</v>
      </c>
      <c r="G243" s="1" t="s">
        <v>24</v>
      </c>
      <c r="H243" s="1">
        <v>2.0</v>
      </c>
    </row>
    <row r="244">
      <c r="A244" s="1">
        <v>17.82</v>
      </c>
      <c r="B244" s="1">
        <v>1.75</v>
      </c>
      <c r="C244" s="1">
        <f t="shared" si="1"/>
        <v>0.09820426487</v>
      </c>
      <c r="D244" s="1" t="s">
        <v>25</v>
      </c>
      <c r="E244" s="1" t="s">
        <v>22</v>
      </c>
      <c r="F244" s="1" t="s">
        <v>26</v>
      </c>
      <c r="G244" s="1" t="s">
        <v>24</v>
      </c>
      <c r="H244" s="1">
        <v>2.0</v>
      </c>
    </row>
    <row r="245">
      <c r="A245" s="1">
        <v>18.78</v>
      </c>
      <c r="B245" s="1">
        <v>3.0</v>
      </c>
      <c r="C245" s="1">
        <f t="shared" si="1"/>
        <v>0.1597444089</v>
      </c>
      <c r="D245" s="1" t="s">
        <v>21</v>
      </c>
      <c r="E245" s="1" t="s">
        <v>22</v>
      </c>
      <c r="F245" s="1" t="s">
        <v>28</v>
      </c>
      <c r="G245" s="1" t="s">
        <v>24</v>
      </c>
      <c r="H245" s="1">
        <v>2.0</v>
      </c>
    </row>
    <row r="246">
      <c r="B246" s="1" t="s">
        <v>31</v>
      </c>
      <c r="C246" s="2">
        <f>AVERAGE(C2:C245)</f>
        <v>0.1608025817</v>
      </c>
    </row>
    <row r="247">
      <c r="B247" s="1" t="s">
        <v>32</v>
      </c>
      <c r="C247" s="2">
        <f>MODE(C2:C245)</f>
        <v>0.1448225923</v>
      </c>
    </row>
    <row r="248">
      <c r="B248" s="1" t="s">
        <v>33</v>
      </c>
      <c r="C248" s="2">
        <f>MEDIAN(C2:C245)</f>
        <v>0.1547697713</v>
      </c>
    </row>
    <row r="249">
      <c r="B249" s="1" t="s">
        <v>34</v>
      </c>
      <c r="C249" s="2">
        <f>_xlfn.stdev.p(C2,C245)</f>
        <v>0.05014883779</v>
      </c>
    </row>
    <row r="250">
      <c r="B250" s="1" t="s">
        <v>35</v>
      </c>
      <c r="C250" s="2">
        <f>VARP(2,245)</f>
        <v>14762.25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5"/>
  </cols>
  <sheetData>
    <row r="1"/>
    <row r="2"/>
    <row r="3"/>
    <row r="4"/>
    <row r="5"/>
    <row r="6"/>
  </sheetData>
  <drawing r:id="rId2"/>
</worksheet>
</file>